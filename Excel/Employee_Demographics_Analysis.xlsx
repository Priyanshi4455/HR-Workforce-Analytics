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03607d81bcd563/Documents/"/>
    </mc:Choice>
  </mc:AlternateContent>
  <xr:revisionPtr revIDLastSave="607" documentId="8_{7016C976-4214-4DF3-88F0-7FA4E991E9DE}" xr6:coauthVersionLast="47" xr6:coauthVersionMax="47" xr10:uidLastSave="{7D656B7E-B7B8-4E6A-8C51-147CE62F736E}"/>
  <bookViews>
    <workbookView xWindow="-108" yWindow="-108" windowWidth="23256" windowHeight="13896" firstSheet="1" activeTab="1" xr2:uid="{00000000-000D-0000-FFFF-FFFF00000000}"/>
  </bookViews>
  <sheets>
    <sheet name="README" sheetId="1" r:id="rId1"/>
    <sheet name="Employee_Master" sheetId="2" r:id="rId2"/>
    <sheet name="Demographic Summary" sheetId="7" r:id="rId3"/>
    <sheet name="Gender Analysis" sheetId="8" r:id="rId4"/>
    <sheet name="Age Group Distribution" sheetId="10" r:id="rId5"/>
    <sheet name="Department Headcount" sheetId="12" r:id="rId6"/>
    <sheet name="Location-Wise Headcount " sheetId="13" r:id="rId7"/>
    <sheet name="Position-wise Distribution" sheetId="14" r:id="rId8"/>
    <sheet name="Department vs Gender" sheetId="15" r:id="rId9"/>
    <sheet name="Active and Resigned" sheetId="17" r:id="rId10"/>
    <sheet name="Dashboard" sheetId="16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F2" i="7"/>
  <c r="E2" i="7"/>
  <c r="D2" i="7"/>
  <c r="C2" i="7"/>
  <c r="B2" i="7"/>
  <c r="A2" i="7"/>
  <c r="K2" i="2" a="1"/>
  <c r="K3" i="2" a="1"/>
  <c r="K4" i="2" a="1"/>
  <c r="K5" i="2" a="1"/>
  <c r="K6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53" i="2" a="1"/>
  <c r="K54" i="2" a="1"/>
  <c r="K55" i="2" a="1"/>
  <c r="K56" i="2" a="1"/>
  <c r="K57" i="2" a="1"/>
  <c r="K58" i="2" a="1"/>
  <c r="K59" i="2" a="1"/>
  <c r="K60" i="2" a="1"/>
  <c r="K61" i="2" a="1"/>
  <c r="K62" i="2" a="1"/>
  <c r="K63" i="2" a="1"/>
  <c r="K64" i="2" a="1"/>
  <c r="K65" i="2" a="1"/>
  <c r="K66" i="2" a="1"/>
  <c r="K67" i="2" a="1"/>
  <c r="K68" i="2" a="1"/>
  <c r="K69" i="2" a="1"/>
  <c r="K70" i="2" a="1"/>
  <c r="K71" i="2" a="1"/>
  <c r="K72" i="2" a="1"/>
  <c r="K73" i="2" a="1"/>
  <c r="K74" i="2" a="1"/>
  <c r="K75" i="2" a="1"/>
  <c r="K76" i="2" a="1"/>
  <c r="K77" i="2" a="1"/>
  <c r="K78" i="2" a="1"/>
  <c r="K79" i="2" a="1"/>
  <c r="K80" i="2" a="1"/>
  <c r="K81" i="2" a="1"/>
  <c r="K82" i="2" a="1"/>
  <c r="K83" i="2" a="1"/>
  <c r="K84" i="2" a="1"/>
  <c r="K85" i="2" a="1"/>
  <c r="K86" i="2" a="1"/>
  <c r="K87" i="2" a="1"/>
  <c r="K88" i="2" a="1"/>
  <c r="K89" i="2" a="1"/>
  <c r="K90" i="2" a="1"/>
  <c r="K91" i="2" a="1"/>
  <c r="K92" i="2" a="1"/>
  <c r="K93" i="2" a="1"/>
  <c r="K94" i="2" a="1"/>
  <c r="K95" i="2" a="1"/>
  <c r="K96" i="2" a="1"/>
  <c r="K97" i="2" a="1"/>
  <c r="K98" i="2" a="1"/>
  <c r="K99" i="2" a="1"/>
  <c r="K100" i="2" a="1"/>
  <c r="K101" i="2" a="1"/>
  <c r="K102" i="2" a="1"/>
  <c r="K103" i="2" a="1"/>
  <c r="K104" i="2" a="1"/>
  <c r="K105" i="2" a="1"/>
  <c r="K106" i="2" a="1"/>
  <c r="K107" i="2" a="1"/>
  <c r="K108" i="2" a="1"/>
  <c r="K109" i="2" a="1"/>
  <c r="K110" i="2" a="1"/>
  <c r="K111" i="2" a="1"/>
  <c r="K112" i="2" a="1"/>
  <c r="K113" i="2" a="1"/>
  <c r="K114" i="2" a="1"/>
  <c r="K115" i="2" a="1"/>
  <c r="K116" i="2" a="1"/>
  <c r="K117" i="2" a="1"/>
  <c r="K118" i="2" a="1"/>
  <c r="K119" i="2" a="1"/>
  <c r="K120" i="2" a="1"/>
  <c r="K121" i="2" a="1"/>
  <c r="K122" i="2" a="1"/>
  <c r="K123" i="2" a="1"/>
  <c r="K124" i="2" a="1"/>
  <c r="K125" i="2" a="1"/>
  <c r="K126" i="2" a="1"/>
  <c r="K127" i="2" a="1"/>
  <c r="K128" i="2" a="1"/>
  <c r="K129" i="2" a="1"/>
  <c r="K130" i="2" a="1"/>
  <c r="K131" i="2" a="1"/>
  <c r="K132" i="2" a="1"/>
  <c r="K133" i="2" a="1"/>
  <c r="K134" i="2" a="1"/>
  <c r="K135" i="2" a="1"/>
  <c r="K136" i="2" a="1"/>
  <c r="K137" i="2" a="1"/>
  <c r="K138" i="2" a="1"/>
  <c r="K139" i="2" a="1"/>
  <c r="K140" i="2" a="1"/>
  <c r="K141" i="2" a="1"/>
  <c r="K142" i="2" a="1"/>
  <c r="K143" i="2" a="1"/>
  <c r="K144" i="2" a="1"/>
  <c r="K145" i="2" a="1"/>
  <c r="K146" i="2" a="1"/>
  <c r="K147" i="2" a="1"/>
  <c r="K148" i="2" a="1"/>
  <c r="K149" i="2" a="1"/>
  <c r="K150" i="2" a="1"/>
  <c r="K151" i="2" a="1"/>
  <c r="K152" i="2" a="1"/>
  <c r="K153" i="2" a="1"/>
  <c r="K154" i="2" a="1"/>
  <c r="K155" i="2" a="1"/>
  <c r="K156" i="2" a="1"/>
  <c r="K157" i="2" a="1"/>
  <c r="K158" i="2" a="1"/>
  <c r="K159" i="2" a="1"/>
  <c r="K160" i="2" a="1"/>
  <c r="K161" i="2" a="1"/>
  <c r="K162" i="2" a="1"/>
  <c r="K163" i="2" a="1"/>
  <c r="K164" i="2" a="1"/>
  <c r="K165" i="2" a="1"/>
  <c r="K166" i="2" a="1"/>
  <c r="K167" i="2" a="1"/>
  <c r="K168" i="2" a="1"/>
  <c r="K169" i="2" a="1"/>
  <c r="K170" i="2" a="1"/>
  <c r="K171" i="2" a="1"/>
  <c r="K172" i="2" a="1"/>
  <c r="K173" i="2" a="1"/>
  <c r="K174" i="2" a="1"/>
  <c r="K175" i="2" a="1"/>
  <c r="K176" i="2" a="1"/>
  <c r="K177" i="2" a="1"/>
  <c r="K178" i="2" a="1"/>
  <c r="K179" i="2" a="1"/>
  <c r="K180" i="2" a="1"/>
  <c r="K181" i="2" a="1"/>
  <c r="K182" i="2" a="1"/>
  <c r="K183" i="2" a="1"/>
  <c r="K184" i="2" a="1"/>
  <c r="K185" i="2" a="1"/>
  <c r="K186" i="2" a="1"/>
  <c r="K187" i="2" a="1"/>
  <c r="K188" i="2" a="1"/>
  <c r="K189" i="2" a="1"/>
  <c r="K190" i="2" a="1"/>
  <c r="K191" i="2" a="1"/>
  <c r="K192" i="2" a="1"/>
  <c r="K193" i="2" a="1"/>
  <c r="K194" i="2" a="1"/>
  <c r="K195" i="2" a="1"/>
  <c r="K196" i="2" a="1"/>
  <c r="K197" i="2" a="1"/>
  <c r="K198" i="2" a="1"/>
  <c r="K199" i="2" a="1"/>
  <c r="K200" i="2" a="1"/>
  <c r="K201" i="2" a="1"/>
  <c r="K202" i="2" a="1"/>
  <c r="K203" i="2" a="1"/>
  <c r="K204" i="2" a="1"/>
  <c r="K205" i="2" a="1"/>
  <c r="K206" i="2" a="1"/>
  <c r="K207" i="2" a="1"/>
  <c r="K208" i="2" a="1"/>
  <c r="K209" i="2" a="1"/>
  <c r="K210" i="2" a="1"/>
  <c r="K211" i="2" a="1"/>
  <c r="K212" i="2" a="1"/>
  <c r="K213" i="2" a="1"/>
  <c r="K214" i="2" a="1"/>
  <c r="K215" i="2" a="1"/>
  <c r="K216" i="2" a="1"/>
  <c r="K217" i="2" a="1"/>
  <c r="K218" i="2" a="1"/>
  <c r="K219" i="2" a="1"/>
  <c r="K220" i="2" a="1"/>
  <c r="K221" i="2" a="1"/>
  <c r="K222" i="2" a="1"/>
  <c r="K223" i="2" a="1"/>
  <c r="K224" i="2" a="1"/>
  <c r="K225" i="2" a="1"/>
  <c r="K226" i="2" a="1"/>
  <c r="K227" i="2" a="1"/>
  <c r="K228" i="2" a="1"/>
  <c r="K229" i="2" a="1"/>
  <c r="K230" i="2" a="1"/>
  <c r="K231" i="2" a="1"/>
  <c r="K232" i="2" a="1"/>
  <c r="K233" i="2" a="1"/>
  <c r="K234" i="2" a="1"/>
  <c r="K235" i="2" a="1"/>
  <c r="K236" i="2" a="1"/>
  <c r="K237" i="2" a="1"/>
  <c r="K238" i="2" a="1"/>
  <c r="K239" i="2" a="1"/>
  <c r="K240" i="2" a="1"/>
  <c r="K241" i="2" a="1"/>
  <c r="K242" i="2" a="1"/>
  <c r="K243" i="2" a="1"/>
  <c r="K244" i="2" a="1"/>
  <c r="K245" i="2" a="1"/>
  <c r="K246" i="2" a="1"/>
  <c r="K247" i="2" a="1"/>
  <c r="K248" i="2" a="1"/>
  <c r="K249" i="2" a="1"/>
  <c r="K250" i="2" a="1"/>
  <c r="K251" i="2" a="1"/>
  <c r="K252" i="2" a="1"/>
  <c r="K253" i="2" a="1"/>
  <c r="K254" i="2" a="1"/>
  <c r="K255" i="2" a="1"/>
  <c r="K256" i="2" a="1"/>
  <c r="K257" i="2" a="1"/>
  <c r="K258" i="2" a="1"/>
  <c r="K259" i="2" a="1"/>
  <c r="K260" i="2" a="1"/>
  <c r="K261" i="2" a="1"/>
  <c r="K262" i="2" a="1"/>
  <c r="K263" i="2" a="1"/>
  <c r="K264" i="2" a="1"/>
  <c r="K265" i="2" a="1"/>
  <c r="K266" i="2" a="1"/>
  <c r="K267" i="2" a="1"/>
  <c r="K268" i="2" a="1"/>
  <c r="K269" i="2" a="1"/>
  <c r="K270" i="2" a="1"/>
  <c r="K271" i="2" a="1"/>
  <c r="K272" i="2" a="1"/>
  <c r="K273" i="2" a="1"/>
  <c r="K274" i="2" a="1"/>
  <c r="K275" i="2" a="1"/>
  <c r="K276" i="2" a="1"/>
  <c r="K277" i="2" a="1"/>
  <c r="K278" i="2" a="1"/>
  <c r="K279" i="2" a="1"/>
  <c r="K280" i="2" a="1"/>
  <c r="K281" i="2" a="1"/>
  <c r="K282" i="2" a="1"/>
  <c r="K283" i="2" a="1"/>
  <c r="K284" i="2" a="1"/>
  <c r="K285" i="2" a="1"/>
  <c r="K286" i="2" a="1"/>
  <c r="K287" i="2" a="1"/>
  <c r="K288" i="2" a="1"/>
  <c r="K289" i="2" a="1"/>
  <c r="K290" i="2" a="1"/>
  <c r="K291" i="2" a="1"/>
  <c r="K292" i="2" a="1"/>
  <c r="K293" i="2" a="1"/>
  <c r="K294" i="2" a="1"/>
  <c r="K295" i="2" a="1"/>
  <c r="K296" i="2" a="1"/>
  <c r="K297" i="2" a="1"/>
  <c r="K298" i="2" a="1"/>
  <c r="K299" i="2" a="1"/>
  <c r="K300" i="2" a="1"/>
  <c r="K301" i="2" a="1"/>
  <c r="E2" i="2" a="1"/>
  <c r="E3" i="2" a="1"/>
  <c r="E4" i="2" a="1"/>
  <c r="E5" i="2" a="1"/>
  <c r="E6" i="2" a="1"/>
  <c r="E7" i="2" a="1"/>
  <c r="E8" i="2" a="1"/>
  <c r="E9" i="2" a="1"/>
  <c r="E10" i="2" a="1"/>
  <c r="E11" i="2" a="1"/>
  <c r="E12" i="2" a="1"/>
  <c r="E13" i="2" a="1"/>
  <c r="E14" i="2" a="1"/>
  <c r="E15" i="2" a="1"/>
  <c r="E16" i="2" a="1"/>
  <c r="E17" i="2" a="1"/>
  <c r="E18" i="2" a="1"/>
  <c r="E19" i="2" a="1"/>
  <c r="E20" i="2" a="1"/>
  <c r="E21" i="2" a="1"/>
  <c r="E22" i="2" a="1"/>
  <c r="E23" i="2" a="1"/>
  <c r="E24" i="2" a="1"/>
  <c r="E25" i="2" a="1"/>
  <c r="E26" i="2" a="1"/>
  <c r="E27" i="2" a="1"/>
  <c r="E28" i="2" a="1"/>
  <c r="E29" i="2" a="1"/>
  <c r="E30" i="2" a="1"/>
  <c r="E31" i="2" a="1"/>
  <c r="E32" i="2" a="1"/>
  <c r="E33" i="2" a="1"/>
  <c r="E34" i="2" a="1"/>
  <c r="E35" i="2" a="1"/>
  <c r="E36" i="2" a="1"/>
  <c r="E37" i="2" a="1"/>
  <c r="E38" i="2" a="1"/>
  <c r="E39" i="2" a="1"/>
  <c r="E40" i="2" a="1"/>
  <c r="E41" i="2" a="1"/>
  <c r="E42" i="2" a="1"/>
  <c r="E43" i="2" a="1"/>
  <c r="E44" i="2" a="1"/>
  <c r="E45" i="2" a="1"/>
  <c r="E46" i="2" a="1"/>
  <c r="E47" i="2" a="1"/>
  <c r="E48" i="2" a="1"/>
  <c r="E49" i="2" a="1"/>
  <c r="E50" i="2" a="1"/>
  <c r="E51" i="2" a="1"/>
  <c r="E52" i="2" a="1"/>
  <c r="E53" i="2" a="1"/>
  <c r="E54" i="2" a="1"/>
  <c r="E55" i="2" a="1"/>
  <c r="E56" i="2" a="1"/>
  <c r="E57" i="2" a="1"/>
  <c r="E58" i="2" a="1"/>
  <c r="E59" i="2" a="1"/>
  <c r="E60" i="2" a="1"/>
  <c r="E61" i="2" a="1"/>
  <c r="E62" i="2" a="1"/>
  <c r="E63" i="2" a="1"/>
  <c r="E64" i="2" a="1"/>
  <c r="E65" i="2" a="1"/>
  <c r="E66" i="2" a="1"/>
  <c r="E67" i="2" a="1"/>
  <c r="E68" i="2" a="1"/>
  <c r="E69" i="2" a="1"/>
  <c r="E70" i="2" a="1"/>
  <c r="E71" i="2" a="1"/>
  <c r="E72" i="2" a="1"/>
  <c r="E73" i="2" a="1"/>
  <c r="E74" i="2" a="1"/>
  <c r="E75" i="2" a="1"/>
  <c r="E76" i="2" a="1"/>
  <c r="E77" i="2" a="1"/>
  <c r="E78" i="2" a="1"/>
  <c r="E79" i="2" a="1"/>
  <c r="E80" i="2" a="1"/>
  <c r="E81" i="2" a="1"/>
  <c r="E82" i="2" a="1"/>
  <c r="E83" i="2" a="1"/>
  <c r="E84" i="2" a="1"/>
  <c r="E85" i="2" a="1"/>
  <c r="E86" i="2" a="1"/>
  <c r="E87" i="2" a="1"/>
  <c r="E88" i="2" a="1"/>
  <c r="E89" i="2" a="1"/>
  <c r="E90" i="2" a="1"/>
  <c r="E91" i="2" a="1"/>
  <c r="E92" i="2" a="1"/>
  <c r="E93" i="2" a="1"/>
  <c r="E94" i="2" a="1"/>
  <c r="E95" i="2" a="1"/>
  <c r="E96" i="2" a="1"/>
  <c r="E97" i="2" a="1"/>
  <c r="E98" i="2" a="1"/>
  <c r="E99" i="2" a="1"/>
  <c r="E100" i="2" a="1"/>
  <c r="E101" i="2" a="1"/>
  <c r="E102" i="2" a="1"/>
  <c r="E103" i="2" a="1"/>
  <c r="E104" i="2" a="1"/>
  <c r="E105" i="2" a="1"/>
  <c r="E106" i="2" a="1"/>
  <c r="E107" i="2" a="1"/>
  <c r="E108" i="2" a="1"/>
  <c r="E109" i="2" a="1"/>
  <c r="E110" i="2" a="1"/>
  <c r="E111" i="2" a="1"/>
  <c r="E112" i="2" a="1"/>
  <c r="E113" i="2" a="1"/>
  <c r="E114" i="2" a="1"/>
  <c r="E115" i="2" a="1"/>
  <c r="E116" i="2" a="1"/>
  <c r="E117" i="2" a="1"/>
  <c r="E118" i="2" a="1"/>
  <c r="E119" i="2" a="1"/>
  <c r="E120" i="2" a="1"/>
  <c r="E121" i="2" a="1"/>
  <c r="E122" i="2" a="1"/>
  <c r="E123" i="2" a="1"/>
  <c r="E124" i="2" a="1"/>
  <c r="E125" i="2" a="1"/>
  <c r="E126" i="2" a="1"/>
  <c r="E127" i="2" a="1"/>
  <c r="E128" i="2" a="1"/>
  <c r="E129" i="2" a="1"/>
  <c r="E130" i="2" a="1"/>
  <c r="E131" i="2" a="1"/>
  <c r="E132" i="2" a="1"/>
  <c r="E133" i="2" a="1"/>
  <c r="E134" i="2" a="1"/>
  <c r="E135" i="2" a="1"/>
  <c r="E136" i="2" a="1"/>
  <c r="E137" i="2" a="1"/>
  <c r="E138" i="2" a="1"/>
  <c r="E139" i="2" a="1"/>
  <c r="E140" i="2" a="1"/>
  <c r="E141" i="2" a="1"/>
  <c r="E142" i="2" a="1"/>
  <c r="E143" i="2" a="1"/>
  <c r="E144" i="2" a="1"/>
  <c r="E145" i="2" a="1"/>
  <c r="E146" i="2" a="1"/>
  <c r="E147" i="2" a="1"/>
  <c r="E148" i="2" a="1"/>
  <c r="E149" i="2" a="1"/>
  <c r="E150" i="2" a="1"/>
  <c r="E151" i="2" a="1"/>
  <c r="E152" i="2" a="1"/>
  <c r="E153" i="2" a="1"/>
  <c r="E154" i="2" a="1"/>
  <c r="E155" i="2" a="1"/>
  <c r="E156" i="2" a="1"/>
  <c r="E157" i="2" a="1"/>
  <c r="E158" i="2" a="1"/>
  <c r="E159" i="2" a="1"/>
  <c r="E160" i="2" a="1"/>
  <c r="E161" i="2" a="1"/>
  <c r="E162" i="2" a="1"/>
  <c r="E163" i="2" a="1"/>
  <c r="E164" i="2" a="1"/>
  <c r="E165" i="2" a="1"/>
  <c r="E166" i="2" a="1"/>
  <c r="E167" i="2" a="1"/>
  <c r="E168" i="2" a="1"/>
  <c r="E169" i="2" a="1"/>
  <c r="E170" i="2" a="1"/>
  <c r="E171" i="2" a="1"/>
  <c r="E172" i="2" a="1"/>
  <c r="E173" i="2" a="1"/>
  <c r="E174" i="2" a="1"/>
  <c r="E175" i="2" a="1"/>
  <c r="E176" i="2" a="1"/>
  <c r="E177" i="2" a="1"/>
  <c r="E178" i="2" a="1"/>
  <c r="E179" i="2" a="1"/>
  <c r="E180" i="2" a="1"/>
  <c r="E181" i="2" a="1"/>
  <c r="E182" i="2" a="1"/>
  <c r="E183" i="2" a="1"/>
  <c r="E184" i="2" a="1"/>
  <c r="E185" i="2" a="1"/>
  <c r="E186" i="2" a="1"/>
  <c r="E187" i="2" a="1"/>
  <c r="E188" i="2" a="1"/>
  <c r="E189" i="2" a="1"/>
  <c r="E190" i="2" a="1"/>
  <c r="E191" i="2" a="1"/>
  <c r="E192" i="2" a="1"/>
  <c r="E193" i="2" a="1"/>
  <c r="E194" i="2" a="1"/>
  <c r="E195" i="2" a="1"/>
  <c r="E196" i="2" a="1"/>
  <c r="E197" i="2" a="1"/>
  <c r="E198" i="2" a="1"/>
  <c r="E199" i="2" a="1"/>
  <c r="E200" i="2" a="1"/>
  <c r="E201" i="2" a="1"/>
  <c r="E202" i="2" a="1"/>
  <c r="E203" i="2" a="1"/>
  <c r="E204" i="2" a="1"/>
  <c r="E205" i="2" a="1"/>
  <c r="E206" i="2" a="1"/>
  <c r="E207" i="2" a="1"/>
  <c r="E208" i="2" a="1"/>
  <c r="E209" i="2" a="1"/>
  <c r="E210" i="2" a="1"/>
  <c r="E211" i="2" a="1"/>
  <c r="E212" i="2" a="1"/>
  <c r="E213" i="2" a="1"/>
  <c r="E214" i="2" a="1"/>
  <c r="E215" i="2" a="1"/>
  <c r="E216" i="2" a="1"/>
  <c r="E217" i="2" a="1"/>
  <c r="E218" i="2" a="1"/>
  <c r="E219" i="2" a="1"/>
  <c r="E220" i="2" a="1"/>
  <c r="E221" i="2" a="1"/>
  <c r="E222" i="2" a="1"/>
  <c r="E223" i="2" a="1"/>
  <c r="E224" i="2" a="1"/>
  <c r="E225" i="2" a="1"/>
  <c r="E226" i="2" a="1"/>
  <c r="E227" i="2" a="1"/>
  <c r="E228" i="2" a="1"/>
  <c r="E229" i="2" a="1"/>
  <c r="E230" i="2" a="1"/>
  <c r="E231" i="2" a="1"/>
  <c r="E232" i="2" a="1"/>
  <c r="E233" i="2" a="1"/>
  <c r="E234" i="2" a="1"/>
  <c r="E235" i="2" a="1"/>
  <c r="E236" i="2" a="1"/>
  <c r="E237" i="2" a="1"/>
  <c r="E238" i="2" a="1"/>
  <c r="E239" i="2" a="1"/>
  <c r="E240" i="2" a="1"/>
  <c r="E241" i="2" a="1"/>
  <c r="E242" i="2" a="1"/>
  <c r="E243" i="2" a="1"/>
  <c r="E244" i="2" a="1"/>
  <c r="E245" i="2" a="1"/>
  <c r="E246" i="2" a="1"/>
  <c r="E247" i="2" a="1"/>
  <c r="E248" i="2" a="1"/>
  <c r="E249" i="2" a="1"/>
  <c r="E250" i="2" a="1"/>
  <c r="E251" i="2" a="1"/>
  <c r="E252" i="2" a="1"/>
  <c r="E253" i="2" a="1"/>
  <c r="E254" i="2" a="1"/>
  <c r="E255" i="2" a="1"/>
  <c r="E256" i="2" a="1"/>
  <c r="E257" i="2" a="1"/>
  <c r="E258" i="2" a="1"/>
  <c r="E259" i="2" a="1"/>
  <c r="E260" i="2" a="1"/>
  <c r="E261" i="2" a="1"/>
  <c r="E262" i="2" a="1"/>
  <c r="E263" i="2" a="1"/>
  <c r="E264" i="2" a="1"/>
  <c r="E265" i="2" a="1"/>
  <c r="E266" i="2" a="1"/>
  <c r="E267" i="2" a="1"/>
  <c r="E268" i="2" a="1"/>
  <c r="E269" i="2" a="1"/>
  <c r="E270" i="2" a="1"/>
  <c r="E271" i="2" a="1"/>
  <c r="E272" i="2" a="1"/>
  <c r="E273" i="2" a="1"/>
  <c r="E274" i="2" a="1"/>
  <c r="E275" i="2" a="1"/>
  <c r="E276" i="2" a="1"/>
  <c r="E277" i="2" a="1"/>
  <c r="E278" i="2" a="1"/>
  <c r="E279" i="2" a="1"/>
  <c r="E280" i="2" a="1"/>
  <c r="E281" i="2" a="1"/>
  <c r="E282" i="2" a="1"/>
  <c r="E283" i="2" a="1"/>
  <c r="E284" i="2" a="1"/>
  <c r="E285" i="2" a="1"/>
  <c r="E286" i="2" a="1"/>
  <c r="E287" i="2" a="1"/>
  <c r="E288" i="2" a="1"/>
  <c r="E289" i="2" a="1"/>
  <c r="E290" i="2" a="1"/>
  <c r="E291" i="2" a="1"/>
  <c r="E292" i="2" a="1"/>
  <c r="E293" i="2" a="1"/>
  <c r="E294" i="2" a="1"/>
  <c r="E295" i="2" a="1"/>
  <c r="E296" i="2" a="1"/>
  <c r="E297" i="2" a="1"/>
  <c r="E298" i="2" a="1"/>
  <c r="E299" i="2" a="1"/>
  <c r="E300" i="2" a="1"/>
  <c r="E30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<sst xmlns="http://schemas.openxmlformats.org/spreadsheetml/2006/main" count="2213" uniqueCount="393">
  <si>
    <t>Project</t>
  </si>
  <si>
    <t>Purpose</t>
  </si>
  <si>
    <t>Records</t>
  </si>
  <si>
    <t>Recommended Tools</t>
  </si>
  <si>
    <t>Important Note</t>
  </si>
  <si>
    <t>HR Workforce Analytics and Interactive Dashboard System</t>
  </si>
  <si>
    <t>Synthetic project-ready HR dataset for Employee Demographics, Recruitment, Attendance, Leave, Salary, Performance, Attrition and Department-wise Dashboard.</t>
  </si>
  <si>
    <t>300 employees; 3600 monthly attendance records; 640 leave records</t>
  </si>
  <si>
    <t>Excel → MySQL → Power BI; Python/Pandas for optional preprocessing</t>
  </si>
  <si>
    <t>All names and records are synthetic/fictitious and created for academic/project use.</t>
  </si>
  <si>
    <t>Employee_ID</t>
  </si>
  <si>
    <t>Employee_Name</t>
  </si>
  <si>
    <t>Gender</t>
  </si>
  <si>
    <t>Age</t>
  </si>
  <si>
    <t>Department</t>
  </si>
  <si>
    <t>Position</t>
  </si>
  <si>
    <t>Salary</t>
  </si>
  <si>
    <t>Hire_Date</t>
  </si>
  <si>
    <t>Years_of_Service</t>
  </si>
  <si>
    <t>Recruitment_Source</t>
  </si>
  <si>
    <t>Performance_Score</t>
  </si>
  <si>
    <t>Attendance_Percentage</t>
  </si>
  <si>
    <t>Absence_Days</t>
  </si>
  <si>
    <t>Leave_Days</t>
  </si>
  <si>
    <t>Employment_Status</t>
  </si>
  <si>
    <t>Termination_Date</t>
  </si>
  <si>
    <t>Location</t>
  </si>
  <si>
    <t>Employee_001</t>
  </si>
  <si>
    <t>Male</t>
  </si>
  <si>
    <t>Marketing</t>
  </si>
  <si>
    <t>Marketing Executive</t>
  </si>
  <si>
    <t>Campus Recruitment</t>
  </si>
  <si>
    <t>Active</t>
  </si>
  <si>
    <t>North</t>
  </si>
  <si>
    <t>Employee_002</t>
  </si>
  <si>
    <t>IT</t>
  </si>
  <si>
    <t>Data Analyst</t>
  </si>
  <si>
    <t>Indeed</t>
  </si>
  <si>
    <t>Resigned</t>
  </si>
  <si>
    <t>East</t>
  </si>
  <si>
    <t>Employee_003</t>
  </si>
  <si>
    <t>Customer Support</t>
  </si>
  <si>
    <t>Support Executive</t>
  </si>
  <si>
    <t>LinkedIn</t>
  </si>
  <si>
    <t>Central</t>
  </si>
  <si>
    <t>Employee_004</t>
  </si>
  <si>
    <t>Female</t>
  </si>
  <si>
    <t>HR</t>
  </si>
  <si>
    <t>HR Executive</t>
  </si>
  <si>
    <t>Naukri</t>
  </si>
  <si>
    <t>Employee_005</t>
  </si>
  <si>
    <t>Sales</t>
  </si>
  <si>
    <t>Business Development Executive</t>
  </si>
  <si>
    <t>Company Website</t>
  </si>
  <si>
    <t>Employee_006</t>
  </si>
  <si>
    <t>Sales Manager</t>
  </si>
  <si>
    <t>Employee_007</t>
  </si>
  <si>
    <t>Employee_008</t>
  </si>
  <si>
    <t>Finance</t>
  </si>
  <si>
    <t>Financial Analyst</t>
  </si>
  <si>
    <t>South</t>
  </si>
  <si>
    <t>Employee_009</t>
  </si>
  <si>
    <t>Employee_010</t>
  </si>
  <si>
    <t>Employee_011</t>
  </si>
  <si>
    <t>Recruiter</t>
  </si>
  <si>
    <t>Employee_012</t>
  </si>
  <si>
    <t>Marketing Manager</t>
  </si>
  <si>
    <t>Employee_013</t>
  </si>
  <si>
    <t>Employee_014</t>
  </si>
  <si>
    <t>Software Developer</t>
  </si>
  <si>
    <t>Employee_015</t>
  </si>
  <si>
    <t>Customer Success Executive</t>
  </si>
  <si>
    <t>Employee_016</t>
  </si>
  <si>
    <t>Sales Executive</t>
  </si>
  <si>
    <t>Employee_017</t>
  </si>
  <si>
    <t>West</t>
  </si>
  <si>
    <t>Employee_018</t>
  </si>
  <si>
    <t>Employee_019</t>
  </si>
  <si>
    <t>Finance Manager</t>
  </si>
  <si>
    <t>Employee_020</t>
  </si>
  <si>
    <t>Employee_021</t>
  </si>
  <si>
    <t>QA Engineer</t>
  </si>
  <si>
    <t>Employee_022</t>
  </si>
  <si>
    <t>Employee_023</t>
  </si>
  <si>
    <t>Employee_024</t>
  </si>
  <si>
    <t>Operations</t>
  </si>
  <si>
    <t>Operations Manager</t>
  </si>
  <si>
    <t>Employee_025</t>
  </si>
  <si>
    <t>Employee_026</t>
  </si>
  <si>
    <t>HR Manager</t>
  </si>
  <si>
    <t>Employee_027</t>
  </si>
  <si>
    <t>Employee_028</t>
  </si>
  <si>
    <t>Employee_029</t>
  </si>
  <si>
    <t>Digital Marketing Analyst</t>
  </si>
  <si>
    <t>Employee_030</t>
  </si>
  <si>
    <t>Employee_031</t>
  </si>
  <si>
    <t>Support Lead</t>
  </si>
  <si>
    <t>Employee_032</t>
  </si>
  <si>
    <t>Employee Referral</t>
  </si>
  <si>
    <t>Employee_033</t>
  </si>
  <si>
    <t>Employee_034</t>
  </si>
  <si>
    <t>System Administrator</t>
  </si>
  <si>
    <t>Employee_035</t>
  </si>
  <si>
    <t>Operations Executive</t>
  </si>
  <si>
    <t>Employee_036</t>
  </si>
  <si>
    <t>Employee_037</t>
  </si>
  <si>
    <t>Employee_038</t>
  </si>
  <si>
    <t>Employee_039</t>
  </si>
  <si>
    <t>Process Analyst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</si>
  <si>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</si>
  <si>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</si>
  <si>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</si>
  <si>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</si>
  <si>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</si>
  <si>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</si>
  <si>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</si>
  <si>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</si>
  <si>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</si>
  <si>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</si>
  <si>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</si>
  <si>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</si>
  <si>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</si>
  <si>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</si>
  <si>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</si>
  <si>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</si>
  <si>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</si>
  <si>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</si>
  <si>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</si>
  <si>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</si>
  <si>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</si>
  <si>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</si>
  <si>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</si>
  <si>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</si>
  <si>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</si>
  <si>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</si>
  <si>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</si>
  <si>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Accountant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</si>
  <si>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</si>
  <si>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</si>
  <si>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</si>
  <si>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</si>
  <si>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</si>
  <si>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</si>
  <si>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</si>
  <si>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</si>
  <si>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</si>
  <si>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</si>
  <si>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</si>
  <si>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</si>
  <si>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</si>
  <si>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</si>
  <si>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</si>
  <si>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</si>
  <si>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</si>
  <si>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</si>
  <si>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</si>
  <si>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</si>
  <si>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</si>
  <si>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</si>
  <si>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</si>
  <si>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</si>
  <si>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</si>
  <si>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</si>
  <si>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</si>
  <si>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</si>
  <si>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</si>
  <si>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</si>
  <si>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</si>
  <si>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</si>
  <si>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</si>
  <si>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</si>
  <si>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</si>
  <si>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</si>
  <si>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</si>
  <si>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</si>
  <si>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</si>
  <si>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</si>
  <si>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</si>
  <si>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</si>
  <si>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</si>
  <si>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</si>
  <si>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</si>
  <si>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</si>
  <si>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</si>
  <si>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</si>
  <si>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</si>
  <si>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</si>
  <si>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</si>
  <si>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</si>
  <si>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</si>
  <si>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</si>
  <si>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</si>
  <si>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</si>
  <si>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</si>
  <si>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</si>
  <si>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</si>
  <si>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</si>
  <si>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</si>
  <si>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</si>
  <si>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</si>
  <si>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</si>
  <si>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</si>
  <si>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</si>
  <si>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</si>
  <si>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</si>
  <si>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</si>
  <si>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</si>
  <si>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</si>
  <si>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</si>
  <si>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</si>
  <si>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</si>
  <si>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</si>
  <si>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</si>
  <si>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</si>
  <si>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</si>
  <si>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</si>
  <si>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</si>
  <si>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</si>
  <si>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</si>
  <si>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</si>
  <si>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</si>
  <si>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</si>
  <si>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</si>
  <si>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</si>
  <si>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</si>
  <si>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</si>
  <si>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</si>
  <si>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</si>
  <si>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</si>
  <si>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</si>
  <si>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</si>
  <si>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</si>
  <si>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</si>
  <si>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</si>
  <si>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</si>
  <si>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</si>
  <si>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</si>
  <si>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</si>
  <si>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</si>
  <si>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</si>
  <si>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</si>
  <si>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</si>
  <si>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</si>
  <si>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</si>
  <si>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</si>
  <si>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</si>
  <si>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</si>
  <si>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</si>
  <si>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</si>
  <si>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</si>
  <si>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</si>
  <si>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</si>
  <si>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</si>
  <si>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</si>
  <si>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</si>
  <si>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</si>
  <si>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</si>
  <si>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</si>
  <si>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</si>
  <si>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</si>
  <si>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</si>
  <si>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</si>
  <si>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</si>
  <si>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</si>
  <si>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</si>
  <si>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</si>
  <si>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</si>
  <si>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</si>
  <si>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</si>
  <si>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</si>
  <si>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</si>
  <si>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</si>
  <si>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</si>
  <si>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</si>
  <si>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</si>
  <si>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</si>
  <si>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</si>
  <si>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</si>
  <si>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</si>
  <si>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</si>
  <si>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</si>
  <si>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</si>
  <si>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</si>
  <si>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</si>
  <si>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</si>
  <si>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</si>
  <si>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</si>
  <si>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</si>
  <si>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</si>
  <si>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</si>
  <si>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</si>
  <si>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</si>
  <si>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</si>
  <si>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</si>
  <si>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</si>
  <si>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</si>
  <si>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</si>
  <si>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</si>
  <si>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</si>
  <si>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</si>
  <si>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</si>
  <si>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</si>
  <si>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</si>
  <si>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</si>
  <si>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</si>
  <si>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</si>
  <si>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</si>
  <si>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</si>
  <si>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</si>
  <si>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</si>
  <si>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</si>
  <si>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</si>
  <si>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</si>
  <si>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</si>
  <si>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</si>
  <si>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</si>
  <si>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</si>
  <si>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</si>
  <si>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</si>
  <si>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</si>
  <si>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</si>
  <si>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</si>
  <si>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</si>
  <si>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</si>
  <si>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</si>
  <si>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</si>
  <si>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</si>
  <si>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</si>
  <si>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</si>
  <si>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</si>
  <si>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</si>
  <si>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</si>
  <si>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</si>
  <si>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</si>
  <si>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</si>
  <si>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</si>
  <si>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</si>
  <si>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</si>
  <si>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</si>
  <si>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</si>
  <si>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</si>
  <si>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</si>
  <si>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</si>
  <si>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</si>
  <si>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</si>
  <si>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</si>
  <si>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</si>
  <si>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</si>
  <si>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</si>
  <si>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</si>
  <si>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</si>
  <si>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</si>
  <si>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</si>
  <si>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</si>
  <si>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</si>
  <si>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</si>
  <si>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</si>
  <si>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</si>
  <si>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</si>
  <si>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</si>
  <si>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</si>
  <si>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</si>
  <si>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</si>
  <si>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</si>
  <si>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</si>
  <si>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</si>
  <si>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</si>
  <si>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</si>
  <si>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</si>
  <si>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</si>
  <si>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</si>
  <si>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Age Group</t>
  </si>
  <si>
    <t>Experience Group</t>
  </si>
  <si>
    <t>Total Employees</t>
  </si>
  <si>
    <t>Average Age</t>
  </si>
  <si>
    <t>Youngest Employees</t>
  </si>
  <si>
    <t>Oldest Employees</t>
  </si>
  <si>
    <t>Average Experience</t>
  </si>
  <si>
    <t>Active Employees</t>
  </si>
  <si>
    <t>Resigned Employees</t>
  </si>
  <si>
    <t>Row Labels</t>
  </si>
  <si>
    <t>Grand Total</t>
  </si>
  <si>
    <t>Count of Employee_ID</t>
  </si>
  <si>
    <t>18-30</t>
  </si>
  <si>
    <t>31-40</t>
  </si>
  <si>
    <t>41-50</t>
  </si>
  <si>
    <t>51-65</t>
  </si>
  <si>
    <t>Average of Years_of_Service</t>
  </si>
  <si>
    <t>Column Labels</t>
  </si>
  <si>
    <t>Gender % of Total</t>
  </si>
  <si>
    <t>Employee Demographics</t>
  </si>
  <si>
    <t>% of Grand Total</t>
  </si>
  <si>
    <t xml:space="preserve">% of Total Active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</si>
</sst>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/>
    <xf numFmtId="9" fontId="0" fillId="0" borderId="0" xfId="0" applyNumberFormat="1"/>
    <xf numFmtId="165" fontId="0" fillId="0" borderId="0" xfId="0" applyNumberFormat="1"/>
    <xf numFmtId="9" fontId="0" fillId="0" borderId="0" xfId="1" applyFont="1"/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30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[Employee_Demographics.xlsx]Gender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F8-482D-BB00-7186502174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8-482D-BB00-7186502174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0%</c:formatCode>
                <c:ptCount val="2"/>
                <c:pt idx="0">
                  <c:v>0.46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F-4825-9877-4C6BF416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[Employee_Demographics.xlsx]Age Group Distribution!PivotTable1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Distribution'!$A$4:$A$8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51-65</c:v>
                </c:pt>
              </c:strCache>
            </c:strRef>
          </c:cat>
          <c:val>
            <c:numRef>
              <c:f>'Age Group Distribution'!$B$4:$B$8</c:f>
              <c:numCache>
                <c:formatCode>General</c:formatCode>
                <c:ptCount val="4"/>
                <c:pt idx="0">
                  <c:v>82</c:v>
                </c:pt>
                <c:pt idx="1">
                  <c:v>67</c:v>
                </c:pt>
                <c:pt idx="2">
                  <c:v>89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A-4461-A0E6-5872E12A6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840879"/>
        <c:axId val="1038341327"/>
      </c:barChart>
      <c:catAx>
        <c:axId val="101184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41327"/>
        <c:crosses val="autoZero"/>
        <c:auto val="1"/>
        <c:lblAlgn val="ctr"/>
        <c:lblOffset val="100"/>
        <c:noMultiLvlLbl val="0"/>
      </c:catAx>
      <c:valAx>
        <c:axId val="10383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[Employee_Demographics.xlsx]Department Headcount!PivotTable3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Headcount'!$B$3</c:f>
              <c:strCache>
                <c:ptCount val="1"/>
                <c:pt idx="0">
                  <c:v>Count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Headcount'!$A$4:$A$11</c:f>
              <c:strCache>
                <c:ptCount val="7"/>
                <c:pt idx="0">
                  <c:v>IT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Operations</c:v>
                </c:pt>
              </c:strCache>
            </c:strRef>
          </c:cat>
          <c:val>
            <c:numRef>
              <c:f>'Department Headcount'!$B$4:$B$11</c:f>
              <c:numCache>
                <c:formatCode>General</c:formatCode>
                <c:ptCount val="7"/>
                <c:pt idx="0">
                  <c:v>54</c:v>
                </c:pt>
                <c:pt idx="1">
                  <c:v>48</c:v>
                </c:pt>
                <c:pt idx="2">
                  <c:v>44</c:v>
                </c:pt>
                <c:pt idx="3">
                  <c:v>43</c:v>
                </c:pt>
                <c:pt idx="4">
                  <c:v>40</c:v>
                </c:pt>
                <c:pt idx="5">
                  <c:v>38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B-48A9-B044-CDEA3D8CD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09679"/>
        <c:axId val="1255487087"/>
      </c:barChart>
      <c:lineChart>
        <c:grouping val="standard"/>
        <c:varyColors val="0"/>
        <c:ser>
          <c:idx val="1"/>
          <c:order val="1"/>
          <c:tx>
            <c:strRef>
              <c:f>'Department Headcount'!$C$3</c:f>
              <c:strCache>
                <c:ptCount val="1"/>
                <c:pt idx="0">
                  <c:v>Average of Years_of_Service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'Department Headcount'!$A$4:$A$11</c:f>
              <c:strCache>
                <c:ptCount val="7"/>
                <c:pt idx="0">
                  <c:v>IT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Operations</c:v>
                </c:pt>
              </c:strCache>
            </c:strRef>
          </c:cat>
          <c:val>
            <c:numRef>
              <c:f>'Department Headcount'!$C$4:$C$11</c:f>
              <c:numCache>
                <c:formatCode>General</c:formatCode>
                <c:ptCount val="7"/>
                <c:pt idx="0">
                  <c:v>3.7018518518518526</c:v>
                </c:pt>
                <c:pt idx="1">
                  <c:v>3.9479166666666674</c:v>
                </c:pt>
                <c:pt idx="2">
                  <c:v>3.7886363636363636</c:v>
                </c:pt>
                <c:pt idx="3">
                  <c:v>3.6348837209302314</c:v>
                </c:pt>
                <c:pt idx="4">
                  <c:v>3.5799999999999996</c:v>
                </c:pt>
                <c:pt idx="5">
                  <c:v>4.121052631578948</c:v>
                </c:pt>
                <c:pt idx="6">
                  <c:v>3.7363636363636372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B-48A9-B044-CDEA3D8CD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299680"/>
        <c:axId val="2105828816"/>
      </c:lineChart>
      <c:catAx>
        <c:axId val="4400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487087"/>
        <c:crosses val="autoZero"/>
        <c:auto val="1"/>
        <c:lblAlgn val="ctr"/>
        <c:lblOffset val="100"/>
        <c:noMultiLvlLbl val="0"/>
      </c:catAx>
      <c:valAx>
        <c:axId val="125548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679"/>
        <c:crosses val="autoZero"/>
        <c:crossBetween val="between"/>
      </c:valAx>
      <c:valAx>
        <c:axId val="2105828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99680"/>
        <c:crosses val="max"/>
        <c:crossBetween val="between"/>
      </c:valAx>
      <c:catAx>
        <c:axId val="413299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582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[Employee_Demographics.xlsx]Location-Wise Headcount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'Location-Wise Headcount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'Location-Wise Headcount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'Location-Wise Headcount '!$B$4:$B$9</c:f>
              <c:numCache>
                <c:formatCode>General</c:formatCode>
                <c:ptCount val="5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56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1-4990-90D5-B8598B2F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764671"/>
        <c:axId val="1255513967"/>
      </c:barChart>
      <c:catAx>
        <c:axId val="12547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13967"/>
        <c:crosses val="autoZero"/>
        <c:auto val="1"/>
        <c:lblAlgn val="ctr"/>
        <c:lblOffset val="100"/>
        <c:noMultiLvlLbl val="0"/>
      </c:catAx>
      <c:valAx>
        <c:axId val="12555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6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[Employee_Demographics.xlsx]Position-wise Distribution!PivotTable2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'Position-wise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'Position-wise Distribution'!$A$4:$A$26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'Position-wise Distribution'!$B$4:$B$26</c:f>
              <c:numCache>
                <c:formatCode>General</c:formatCode>
                <c:ptCount val="22"/>
                <c:pt idx="0">
                  <c:v>15</c:v>
                </c:pt>
                <c:pt idx="1">
                  <c:v>16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14</c:v>
                </c:pt>
                <c:pt idx="6">
                  <c:v>14</c:v>
                </c:pt>
                <c:pt idx="7">
                  <c:v>16</c:v>
                </c:pt>
                <c:pt idx="8">
                  <c:v>16</c:v>
                </c:pt>
                <c:pt idx="9">
                  <c:v>13</c:v>
                </c:pt>
                <c:pt idx="10">
                  <c:v>9</c:v>
                </c:pt>
                <c:pt idx="11">
                  <c:v>12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  <c:pt idx="15">
                  <c:v>12</c:v>
                </c:pt>
                <c:pt idx="16">
                  <c:v>15</c:v>
                </c:pt>
                <c:pt idx="17">
                  <c:v>17</c:v>
                </c:pt>
                <c:pt idx="18">
                  <c:v>13</c:v>
                </c:pt>
                <c:pt idx="19">
                  <c:v>14</c:v>
                </c:pt>
                <c:pt idx="20">
                  <c:v>12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2-45B0-A2B0-7488F2611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428911"/>
        <c:axId val="1255491407"/>
      </c:barChart>
      <c:catAx>
        <c:axId val="3742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491407"/>
        <c:crosses val="autoZero"/>
        <c:auto val="1"/>
        <c:lblAlgn val="ctr"/>
        <c:lblOffset val="100"/>
        <c:noMultiLvlLbl val="0"/>
      </c:catAx>
      <c:valAx>
        <c:axId val="125549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[Employee_Demographics.xlsx]Department vs Gender!PivotTable3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'Department vs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vs Gender'!$A$5:$A$12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vs Gender'!$B$5:$B$12</c:f>
              <c:numCache>
                <c:formatCode>General</c:formatCode>
                <c:ptCount val="7"/>
                <c:pt idx="0">
                  <c:v>19</c:v>
                </c:pt>
                <c:pt idx="1">
                  <c:v>25</c:v>
                </c:pt>
                <c:pt idx="2">
                  <c:v>15</c:v>
                </c:pt>
                <c:pt idx="3">
                  <c:v>24</c:v>
                </c:pt>
                <c:pt idx="4">
                  <c:v>17</c:v>
                </c:pt>
                <c:pt idx="5">
                  <c:v>16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8-490B-B761-4C512794E50E}"/>
            </c:ext>
          </c:extLst>
        </c:ser>
        <c:ser>
          <c:idx val="1"/>
          <c:order val="1"/>
          <c:tx>
            <c:strRef>
              <c:f>'Department vs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vs Gender'!$A$5:$A$12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vs Gender'!$C$5:$C$12</c:f>
              <c:numCache>
                <c:formatCode>General</c:formatCode>
                <c:ptCount val="7"/>
                <c:pt idx="0">
                  <c:v>21</c:v>
                </c:pt>
                <c:pt idx="1">
                  <c:v>18</c:v>
                </c:pt>
                <c:pt idx="2">
                  <c:v>29</c:v>
                </c:pt>
                <c:pt idx="3">
                  <c:v>30</c:v>
                </c:pt>
                <c:pt idx="4">
                  <c:v>21</c:v>
                </c:pt>
                <c:pt idx="5">
                  <c:v>17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8-490B-B761-4C512794E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023135"/>
        <c:axId val="1255514447"/>
      </c:barChart>
      <c:catAx>
        <c:axId val="440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14447"/>
        <c:crosses val="autoZero"/>
        <c:auto val="1"/>
        <c:lblAlgn val="ctr"/>
        <c:lblOffset val="100"/>
        <c:noMultiLvlLbl val="0"/>
      </c:catAx>
      <c:valAx>
        <c:axId val="125551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[Employee_Demographics.xlsx]Active and Resigned!PivotTable1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'Active and Resigned'!$B$3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3A-4988-8523-07025FA0A2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3A-4988-8523-07025FA0A2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'Active and Resigned'!$A$4:$A$6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'Active and Resigned'!$B$4:$B$6</c:f>
              <c:numCache>
                <c:formatCode>0%</c:formatCode>
                <c:ptCount val="2"/>
                <c:pt idx="0">
                  <c:v>0.84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8-4549-B52D-383B7B18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[Employee_Demographics.xlsx]Gender 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Gender Distribution</a:t>
            </a:r>
          </a:p>
        </c:rich>
      </c:tx>
      <c:layout>
        <c:manualLayout>
          <c:xMode val="edge"/>
          <c:yMode val="edge"/>
          <c:x val="0.24888942846901843"/>
          <c:y val="0.12137254029686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66C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796310428156832"/>
          <c:y val="0.2731204679923484"/>
          <c:w val="0.46016067021473062"/>
          <c:h val="0.59127494337180453"/>
        </c:manualLayout>
      </c:layout>
      <c:doughnut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66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D-4E77-A6A5-EA354DC6FD0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D-4E77-A6A5-EA354DC6FD07}"/>
              </c:ext>
            </c:extLst>
          </c:dPt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0%</c:formatCode>
                <c:ptCount val="2"/>
                <c:pt idx="0">
                  <c:v>0.46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AD-4E77-A6A5-EA354DC6F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[Employee_Demographics.xlsx]Age Group Distribution!PivotTable1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Age</a:t>
            </a:r>
            <a:r>
              <a:rPr lang="en-US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Group Distribution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297169811320757"/>
          <c:y val="0.11739311274615263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bg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'Age Group Distribution'!$A$4:$A$8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51-65</c:v>
                </c:pt>
              </c:strCache>
            </c:strRef>
          </c:cat>
          <c:val>
            <c:numRef>
              <c:f>'Age Group Distribution'!$B$4:$B$8</c:f>
              <c:numCache>
                <c:formatCode>General</c:formatCode>
                <c:ptCount val="4"/>
                <c:pt idx="0">
                  <c:v>82</c:v>
                </c:pt>
                <c:pt idx="1">
                  <c:v>67</c:v>
                </c:pt>
                <c:pt idx="2">
                  <c:v>89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A-4461-A0E6-5872E12A6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840879"/>
        <c:axId val="1038341327"/>
      </c:barChart>
      <c:catAx>
        <c:axId val="101184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41327"/>
        <c:crosses val="autoZero"/>
        <c:auto val="1"/>
        <c:lblAlgn val="ctr"/>
        <c:lblOffset val="100"/>
        <c:noMultiLvlLbl val="0"/>
      </c:catAx>
      <c:valAx>
        <c:axId val="103834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4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[Employee_Demographics.xlsx]Department Headcount!PivotTable3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Department</a:t>
            </a:r>
            <a:r>
              <a:rPr lang="en-IN" b="1" baseline="0">
                <a:solidFill>
                  <a:schemeClr val="tx1"/>
                </a:solidFill>
              </a:rPr>
              <a:t> Headcount &amp; Service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859767529058868"/>
          <c:y val="4.5150173402839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Headcount'!$B$3</c:f>
              <c:strCache>
                <c:ptCount val="1"/>
                <c:pt idx="0">
                  <c:v>Count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Headcount'!$A$4:$A$11</c:f>
              <c:strCache>
                <c:ptCount val="7"/>
                <c:pt idx="0">
                  <c:v>IT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Operations</c:v>
                </c:pt>
              </c:strCache>
            </c:strRef>
          </c:cat>
          <c:val>
            <c:numRef>
              <c:f>'Department Headcount'!$B$4:$B$11</c:f>
              <c:numCache>
                <c:formatCode>General</c:formatCode>
                <c:ptCount val="7"/>
                <c:pt idx="0">
                  <c:v>54</c:v>
                </c:pt>
                <c:pt idx="1">
                  <c:v>48</c:v>
                </c:pt>
                <c:pt idx="2">
                  <c:v>44</c:v>
                </c:pt>
                <c:pt idx="3">
                  <c:v>43</c:v>
                </c:pt>
                <c:pt idx="4">
                  <c:v>40</c:v>
                </c:pt>
                <c:pt idx="5">
                  <c:v>38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1-4835-A0D3-2E57B591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09679"/>
        <c:axId val="1255487087"/>
      </c:barChart>
      <c:lineChart>
        <c:grouping val="standard"/>
        <c:varyColors val="0"/>
        <c:ser>
          <c:idx val="1"/>
          <c:order val="1"/>
          <c:tx>
            <c:strRef>
              <c:f>'Department Headcount'!$C$3</c:f>
              <c:strCache>
                <c:ptCount val="1"/>
                <c:pt idx="0">
                  <c:v>Average of Years_of_Service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'Department Headcount'!$A$4:$A$11</c:f>
              <c:strCache>
                <c:ptCount val="7"/>
                <c:pt idx="0">
                  <c:v>IT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Operations</c:v>
                </c:pt>
              </c:strCache>
            </c:strRef>
          </c:cat>
          <c:val>
            <c:numRef>
              <c:f>'Department Headcount'!$C$4:$C$11</c:f>
              <c:numCache>
                <c:formatCode>General</c:formatCode>
                <c:ptCount val="7"/>
                <c:pt idx="0">
                  <c:v>3.7018518518518526</c:v>
                </c:pt>
                <c:pt idx="1">
                  <c:v>3.9479166666666674</c:v>
                </c:pt>
                <c:pt idx="2">
                  <c:v>3.7886363636363636</c:v>
                </c:pt>
                <c:pt idx="3">
                  <c:v>3.6348837209302314</c:v>
                </c:pt>
                <c:pt idx="4">
                  <c:v>3.5799999999999996</c:v>
                </c:pt>
                <c:pt idx="5">
                  <c:v>4.121052631578948</c:v>
                </c:pt>
                <c:pt idx="6">
                  <c:v>3.7363636363636372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835-A0D3-2E57B591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299680"/>
        <c:axId val="2105828816"/>
      </c:lineChart>
      <c:catAx>
        <c:axId val="4400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487087"/>
        <c:crosses val="autoZero"/>
        <c:auto val="1"/>
        <c:lblAlgn val="ctr"/>
        <c:lblOffset val="100"/>
        <c:noMultiLvlLbl val="0"/>
      </c:catAx>
      <c:valAx>
        <c:axId val="125548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679"/>
        <c:crosses val="autoZero"/>
        <c:crossBetween val="between"/>
      </c:valAx>
      <c:valAx>
        <c:axId val="2105828816"/>
        <c:scaling>
          <c:orientation val="minMax"/>
          <c:max val="4.5"/>
          <c:min val="3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99680"/>
        <c:crosses val="max"/>
        <c:crossBetween val="between"/>
      </c:valAx>
      <c:catAx>
        <c:axId val="413299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582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[Employee_Demographics.xlsx]Location-Wise Headcount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Location</a:t>
            </a:r>
            <a:r>
              <a:rPr lang="en-US" b="1" baseline="0">
                <a:solidFill>
                  <a:schemeClr val="tx1"/>
                </a:solidFill>
              </a:rPr>
              <a:t>-wise Headcount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733695652173915"/>
          <c:y val="4.752878112458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  <c:pivotFmt>
        <c:idx val="6"/>
        <c:spPr>
          <a:solidFill>
            <a:srgbClr val="7030A0"/>
          </a:solidFill>
          <a:ln>
            <a:noFill/>
          </a:ln>
          <a:effectLst/>
        </c:spPr>
      </c:pivotFmt>
      <c:pivotFmt>
        <c:idx val="7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950311917532042E-2"/>
          <c:y val="0.15924676082156397"/>
          <c:w val="0.89065311488971943"/>
          <c:h val="0.66228332035418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'Location-Wise Headcount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9A-4AE4-A8F4-C35A362CE370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9A-4AE4-A8F4-C35A362CE370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9A-4AE4-A8F4-C35A362CE370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9A-4AE4-A8F4-C35A362CE3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9A-4AE4-A8F4-C35A362CE370}"/>
              </c:ext>
            </c:extLst>
          </c:dPt>
          <c:cat>
            <c:strRef>
              <c:f>'Location-Wise Headcount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'Location-Wise Headcount '!$B$4:$B$9</c:f>
              <c:numCache>
                <c:formatCode>General</c:formatCode>
                <c:ptCount val="5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56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4-43CF-A04B-731CD8D75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764671"/>
        <c:axId val="1255513967"/>
      </c:barChart>
      <c:catAx>
        <c:axId val="12547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13967"/>
        <c:crosses val="autoZero"/>
        <c:auto val="1"/>
        <c:lblAlgn val="ctr"/>
        <c:lblOffset val="100"/>
        <c:noMultiLvlLbl val="0"/>
      </c:catAx>
      <c:valAx>
        <c:axId val="125551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6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[Employee_Demographics.xlsx]Position-wise Distribution!PivotTable2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Position</a:t>
            </a:r>
            <a:r>
              <a:rPr lang="en-IN" b="1" baseline="0">
                <a:solidFill>
                  <a:schemeClr val="tx1"/>
                </a:solidFill>
              </a:rPr>
              <a:t>-wise Distribution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53541119860017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'Position-wise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'Position-wise Distribution'!$A$4:$A$26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'Position-wise Distribution'!$B$4:$B$26</c:f>
              <c:numCache>
                <c:formatCode>General</c:formatCode>
                <c:ptCount val="22"/>
                <c:pt idx="0">
                  <c:v>15</c:v>
                </c:pt>
                <c:pt idx="1">
                  <c:v>16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14</c:v>
                </c:pt>
                <c:pt idx="6">
                  <c:v>14</c:v>
                </c:pt>
                <c:pt idx="7">
                  <c:v>16</c:v>
                </c:pt>
                <c:pt idx="8">
                  <c:v>16</c:v>
                </c:pt>
                <c:pt idx="9">
                  <c:v>13</c:v>
                </c:pt>
                <c:pt idx="10">
                  <c:v>9</c:v>
                </c:pt>
                <c:pt idx="11">
                  <c:v>12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  <c:pt idx="15">
                  <c:v>12</c:v>
                </c:pt>
                <c:pt idx="16">
                  <c:v>15</c:v>
                </c:pt>
                <c:pt idx="17">
                  <c:v>17</c:v>
                </c:pt>
                <c:pt idx="18">
                  <c:v>13</c:v>
                </c:pt>
                <c:pt idx="19">
                  <c:v>14</c:v>
                </c:pt>
                <c:pt idx="20">
                  <c:v>12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5-492F-A788-4E7726FA8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428911"/>
        <c:axId val="1255491407"/>
      </c:barChart>
      <c:catAx>
        <c:axId val="3742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491407"/>
        <c:crosses val="autoZero"/>
        <c:auto val="1"/>
        <c:lblAlgn val="ctr"/>
        <c:lblOffset val="100"/>
        <c:noMultiLvlLbl val="0"/>
      </c:catAx>
      <c:valAx>
        <c:axId val="125549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[Employee_Demographics.xlsx]Department vs Gender!PivotTable3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Department</a:t>
            </a:r>
            <a:r>
              <a:rPr lang="en-IN" b="1" baseline="0">
                <a:solidFill>
                  <a:schemeClr val="tx1"/>
                </a:solidFill>
              </a:rPr>
              <a:t> vs Gender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'Department vs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strRef>
              <c:f>'Department vs Gender'!$A$5:$A$12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vs Gender'!$B$5:$B$12</c:f>
              <c:numCache>
                <c:formatCode>General</c:formatCode>
                <c:ptCount val="7"/>
                <c:pt idx="0">
                  <c:v>19</c:v>
                </c:pt>
                <c:pt idx="1">
                  <c:v>25</c:v>
                </c:pt>
                <c:pt idx="2">
                  <c:v>15</c:v>
                </c:pt>
                <c:pt idx="3">
                  <c:v>24</c:v>
                </c:pt>
                <c:pt idx="4">
                  <c:v>17</c:v>
                </c:pt>
                <c:pt idx="5">
                  <c:v>16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E-4F4C-BEAB-A768F021DDCA}"/>
            </c:ext>
          </c:extLst>
        </c:ser>
        <c:ser>
          <c:idx val="1"/>
          <c:order val="1"/>
          <c:tx>
            <c:strRef>
              <c:f>'Department vs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vs Gender'!$A$5:$A$12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vs Gender'!$C$5:$C$12</c:f>
              <c:numCache>
                <c:formatCode>General</c:formatCode>
                <c:ptCount val="7"/>
                <c:pt idx="0">
                  <c:v>21</c:v>
                </c:pt>
                <c:pt idx="1">
                  <c:v>18</c:v>
                </c:pt>
                <c:pt idx="2">
                  <c:v>29</c:v>
                </c:pt>
                <c:pt idx="3">
                  <c:v>30</c:v>
                </c:pt>
                <c:pt idx="4">
                  <c:v>21</c:v>
                </c:pt>
                <c:pt idx="5">
                  <c:v>17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E-4F4C-BEAB-A768F021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023135"/>
        <c:axId val="1255514447"/>
      </c:barChart>
      <c:catAx>
        <c:axId val="440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14447"/>
        <c:crosses val="autoZero"/>
        <c:auto val="1"/>
        <c:lblAlgn val="ctr"/>
        <c:lblOffset val="100"/>
        <c:noMultiLvlLbl val="0"/>
      </c:catAx>
      <c:valAx>
        <c:axId val="125551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632460</xdr:colOff>
      <xdr:row>8</xdr:row>
      <xdr:rowOff>60960</xdr:rowOff>
    </xdr:from>
    <xdr:to>
      <xdr:col>9</xdr:col>
      <xdr:colOff>99060</xdr:colOff>
      <xdr:row>23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ED584-88A9-9DB4-CA83-1959D09FE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8</xdr:row>
      <xdr:rowOff>137160</xdr:rowOff>
    </xdr:from>
    <xdr:to>
      <xdr:col>10</xdr:col>
      <xdr:colOff>586740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29BB2-FDDD-1A91-AF2D-FF7F9D52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1402080</xdr:colOff>
      <xdr:row>12</xdr:row>
      <xdr:rowOff>38100</xdr:rowOff>
    </xdr:from>
    <xdr:to>
      <xdr:col>9</xdr:col>
      <xdr:colOff>594360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83822-1C1D-F06A-6F87-7FB3DB0D8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8</xdr:row>
      <xdr:rowOff>137160</xdr:rowOff>
    </xdr:from>
    <xdr:to>
      <xdr:col>11</xdr:col>
      <xdr:colOff>68580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8817A-FF06-0757-4F93-DC7107708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10</xdr:row>
      <xdr:rowOff>144780</xdr:rowOff>
    </xdr:from>
    <xdr:to>
      <xdr:col>11</xdr:col>
      <xdr:colOff>213360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29776-07C6-3743-B0C5-98C02813F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11</xdr:row>
      <xdr:rowOff>144780</xdr:rowOff>
    </xdr:from>
    <xdr:to>
      <xdr:col>12</xdr:col>
      <xdr:colOff>327660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1E6DB-4664-EA31-E300-A26EB1D0E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8</xdr:row>
      <xdr:rowOff>137160</xdr:rowOff>
    </xdr:from>
    <xdr:to>
      <xdr:col>11</xdr:col>
      <xdr:colOff>327660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6E02E-0803-37AE-1CDE-A0AEF659B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2</xdr:row>
      <xdr:rowOff>45720</xdr:rowOff>
    </xdr:from>
    <xdr:to>
      <xdr:col>14</xdr:col>
      <xdr:colOff>160020</xdr:colOff>
      <xdr:row>17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20AD1B-3DCB-4E22-93A6-D837BCC2A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2</xdr:row>
      <xdr:rowOff>45720</xdr:rowOff>
    </xdr:from>
    <xdr:to>
      <xdr:col>8</xdr:col>
      <xdr:colOff>22860</xdr:colOff>
      <xdr:row>17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ED68D3-35DB-4A43-A6F4-6F0414A61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228600</xdr:colOff>
      <xdr:row>2</xdr:row>
      <xdr:rowOff>45720</xdr:rowOff>
    </xdr:from>
    <xdr:to>
      <xdr:col>21</xdr:col>
      <xdr:colOff>518160</xdr:colOff>
      <xdr:row>17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24DD16-17BD-4D49-9645-7C00FC36E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17</xdr:row>
      <xdr:rowOff>160020</xdr:rowOff>
    </xdr:from>
    <xdr:to>
      <xdr:col>14</xdr:col>
      <xdr:colOff>396240</xdr:colOff>
      <xdr:row>33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B4A1ED4-0DBE-4927-BF0B-26CFFDBDC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</xdr:colOff>
      <xdr:row>17</xdr:row>
      <xdr:rowOff>152400</xdr:rowOff>
    </xdr:from>
    <xdr:to>
      <xdr:col>7</xdr:col>
      <xdr:colOff>403860</xdr:colOff>
      <xdr:row>33</xdr:row>
      <xdr:rowOff>106680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52D6E6-779F-4A56-9937-9AD73ABD5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441960</xdr:colOff>
      <xdr:row>17</xdr:row>
      <xdr:rowOff>160020</xdr:rowOff>
    </xdr:from>
    <xdr:to>
      <xdr:col>21</xdr:col>
      <xdr:colOff>533400</xdr:colOff>
      <xdr:row>33</xdr:row>
      <xdr:rowOff>121920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D21AE8-5024-44D9-B718-2DF555169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3.368793981484" createdVersion="8" refreshedVersion="8" minRefreshableVersion="3" recordCount="300" xr:uid="{732952AD-48C4-4F96-9546-64EA93BDDEDA}">
  <cacheSource type="worksheet">
    <worksheetSource name="Table1"/>
  </cacheSource>
  <cacheFields count="19">
    <cacheField name="Employee_ID" numFmtId="0">
      <sharedItems containsSemiMixedTypes="0" containsString="0" containsNumber="1" containsInteger="1" minValue="1" maxValue="300"/>
    </cacheField>
    <cacheField name="Employee_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58"/>
    </cacheField>
    <cacheField name="Age Group" numFmtId="0">
      <sharedItems count="4">
        <s v="31-40"/>
        <s v="51-65"/>
        <s v="41-50"/>
        <s v="18-30"/>
      </sharedItems>
    </cacheField>
    <cacheField name="Department" numFmtId="0">
      <sharedItems count="7">
        <s v="Marketing"/>
        <s v="IT"/>
        <s v="Customer Support"/>
        <s v="HR"/>
        <s v="Sales"/>
        <s v="Finance"/>
        <s v="Operations"/>
      </sharedItems>
    </cacheField>
    <cacheField name="Position" numFmtId="0">
      <sharedItems count="22">
        <s v="Marketing Executive"/>
        <s v="Data Analyst"/>
        <s v="Support Executive"/>
        <s v="HR Executive"/>
        <s v="Business Development Executive"/>
        <s v="Sales Manager"/>
        <s v="Financial Analyst"/>
        <s v="Recruiter"/>
        <s v="Marketing Manager"/>
        <s v="Software Developer"/>
        <s v="Customer Success Executive"/>
        <s v="Sales Executive"/>
        <s v="Finance Manager"/>
        <s v="QA Engineer"/>
        <s v="Operations Manager"/>
        <s v="HR Manager"/>
        <s v="Digital Marketing Analyst"/>
        <s v="Support Lead"/>
        <s v="System Administrator"/>
        <s v="Operations Executive"/>
        <s v="Process Analyst"/>
        <s v="Accountant"/>
      </sharedItems>
    </cacheField>
    <cacheField name="Salary" numFmtId="0">
      <sharedItems containsSemiMixedTypes="0" containsString="0" containsNumber="1" containsInteger="1" minValue="18000" maxValue="77000"/>
    </cacheField>
    <cacheField name="Hire_Date" numFmtId="164">
      <sharedItems containsSemiMixedTypes="0" containsNonDate="0" containsDate="1" containsString="0" minDate="2019-01-15T00:00:00" maxDate="2026-09-06T00:00:00"/>
    </cacheField>
    <cacheField name="Years_of_Service" numFmtId="0">
      <sharedItems containsSemiMixedTypes="0" containsString="0" containsNumber="1" minValue="0.1" maxValue="7.7"/>
    </cacheField>
    <cacheField name="Experience Group" numFmtId="0">
      <sharedItems/>
    </cacheField>
    <cacheField name="Recruitment_Source" numFmtId="0">
      <sharedItems/>
    </cacheField>
    <cacheField name="Performance_Score" numFmtId="0">
      <sharedItems containsSemiMixedTypes="0" containsString="0" containsNumber="1" minValue="55" maxValue="98"/>
    </cacheField>
    <cacheField name="Attendance_Percentage" numFmtId="0">
      <sharedItems containsSemiMixedTypes="0" containsString="0" containsNumber="1" minValue="82" maxValue="99.5"/>
    </cacheField>
    <cacheField name="Absence_Days" numFmtId="0">
      <sharedItems containsSemiMixedTypes="0" containsString="0" containsNumber="1" containsInteger="1" minValue="0" maxValue="24"/>
    </cacheField>
    <cacheField name="Leave_Days" numFmtId="0">
      <sharedItems containsSemiMixedTypes="0" containsString="0" containsNumber="1" containsInteger="1" minValue="0" maxValue="18"/>
    </cacheField>
    <cacheField name="Employment_Status" numFmtId="0">
      <sharedItems count="2">
        <s v="Active"/>
        <s v="Resigned"/>
      </sharedItems>
    </cacheField>
    <cacheField name="Termination_Date" numFmtId="164">
      <sharedItems containsNonDate="0" containsDate="1" containsString="0" containsBlank="1" minDate="2024-11-17T00:00:00" maxDate="2026-09-29T00:00:00"/>
    </cacheField>
    <cacheField name="Location" numFmtId="0">
      <sharedItems count="5">
        <s v="North"/>
        <s v="East"/>
        <s v="Central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Employee_001"/>
    <x v="0"/>
    <n v="38"/>
    <x v="0"/>
    <x v="0"/>
    <x v="0"/>
    <n v="48000"/>
    <d v="2021-09-30T00:00:00"/>
    <n v="5"/>
    <s v="3-5 Years"/>
    <s v="Campus Recruitment"/>
    <n v="84.1"/>
    <n v="97.6"/>
    <n v="13"/>
    <n v="1"/>
    <x v="0"/>
    <m/>
    <x v="0"/>
  </r>
  <r>
    <n v="2"/>
    <s v="Employee_002"/>
    <x v="0"/>
    <n v="53"/>
    <x v="1"/>
    <x v="1"/>
    <x v="1"/>
    <n v="74000"/>
    <d v="2024-10-01T00:00:00"/>
    <n v="1"/>
    <s v="0-2 Years"/>
    <s v="Indeed"/>
    <n v="56.1"/>
    <n v="85.5"/>
    <n v="14"/>
    <n v="18"/>
    <x v="1"/>
    <d v="2025-08-03T00:00:00"/>
    <x v="1"/>
  </r>
  <r>
    <n v="3"/>
    <s v="Employee_003"/>
    <x v="0"/>
    <n v="48"/>
    <x v="2"/>
    <x v="2"/>
    <x v="2"/>
    <n v="35000"/>
    <d v="2022-10-25T00:00:00"/>
    <n v="4"/>
    <s v="3-5 Years"/>
    <s v="LinkedIn"/>
    <n v="87.8"/>
    <n v="83.8"/>
    <n v="11"/>
    <n v="11"/>
    <x v="0"/>
    <m/>
    <x v="2"/>
  </r>
  <r>
    <n v="4"/>
    <s v="Employee_004"/>
    <x v="1"/>
    <n v="55"/>
    <x v="1"/>
    <x v="3"/>
    <x v="3"/>
    <n v="51000"/>
    <d v="2020-05-26T00:00:00"/>
    <n v="6.4"/>
    <s v="6-8 Years"/>
    <s v="Naukri"/>
    <n v="96.8"/>
    <n v="88.6"/>
    <n v="19"/>
    <n v="11"/>
    <x v="1"/>
    <d v="2025-12-10T00:00:00"/>
    <x v="2"/>
  </r>
  <r>
    <n v="5"/>
    <s v="Employee_005"/>
    <x v="0"/>
    <n v="23"/>
    <x v="3"/>
    <x v="4"/>
    <x v="4"/>
    <n v="43000"/>
    <d v="2026-06-01T00:00:00"/>
    <n v="0.4"/>
    <s v="0-2 Years"/>
    <s v="Company Website"/>
    <n v="58.4"/>
    <n v="86.1"/>
    <n v="8"/>
    <n v="14"/>
    <x v="0"/>
    <m/>
    <x v="1"/>
  </r>
  <r>
    <n v="6"/>
    <s v="Employee_006"/>
    <x v="1"/>
    <n v="34"/>
    <x v="0"/>
    <x v="4"/>
    <x v="5"/>
    <n v="49000"/>
    <d v="2026-07-08T00:00:00"/>
    <n v="0.2"/>
    <s v="0-2 Years"/>
    <s v="Campus Recruitment"/>
    <n v="66.5"/>
    <n v="98.4"/>
    <n v="20"/>
    <n v="5"/>
    <x v="0"/>
    <m/>
    <x v="2"/>
  </r>
  <r>
    <n v="7"/>
    <s v="Employee_007"/>
    <x v="0"/>
    <n v="50"/>
    <x v="2"/>
    <x v="0"/>
    <x v="0"/>
    <n v="43000"/>
    <d v="2023-04-04T00:00:00"/>
    <n v="3.5"/>
    <s v="3-5 Years"/>
    <s v="LinkedIn"/>
    <n v="84.6"/>
    <n v="85.8"/>
    <n v="7"/>
    <n v="1"/>
    <x v="0"/>
    <m/>
    <x v="1"/>
  </r>
  <r>
    <n v="8"/>
    <s v="Employee_008"/>
    <x v="0"/>
    <n v="34"/>
    <x v="0"/>
    <x v="5"/>
    <x v="6"/>
    <n v="77000"/>
    <d v="2025-05-12T00:00:00"/>
    <n v="1.4"/>
    <s v="0-2 Years"/>
    <s v="Company Website"/>
    <n v="92.7"/>
    <n v="87.5"/>
    <n v="20"/>
    <n v="14"/>
    <x v="0"/>
    <m/>
    <x v="3"/>
  </r>
  <r>
    <n v="9"/>
    <s v="Employee_009"/>
    <x v="0"/>
    <n v="56"/>
    <x v="1"/>
    <x v="3"/>
    <x v="3"/>
    <n v="43000"/>
    <d v="2025-01-16T00:00:00"/>
    <n v="1.7"/>
    <s v="0-2 Years"/>
    <s v="Indeed"/>
    <n v="93.6"/>
    <n v="89"/>
    <n v="16"/>
    <n v="15"/>
    <x v="0"/>
    <m/>
    <x v="0"/>
  </r>
  <r>
    <n v="10"/>
    <s v="Employee_010"/>
    <x v="0"/>
    <n v="30"/>
    <x v="3"/>
    <x v="2"/>
    <x v="2"/>
    <n v="46000"/>
    <d v="2026-01-14T00:00:00"/>
    <n v="0.7"/>
    <s v="0-2 Years"/>
    <s v="Company Website"/>
    <n v="61.9"/>
    <n v="93.9"/>
    <n v="12"/>
    <n v="14"/>
    <x v="1"/>
    <d v="2026-08-02T00:00:00"/>
    <x v="2"/>
  </r>
  <r>
    <n v="11"/>
    <s v="Employee_011"/>
    <x v="0"/>
    <n v="28"/>
    <x v="3"/>
    <x v="3"/>
    <x v="7"/>
    <n v="57000"/>
    <d v="2026-08-24T00:00:00"/>
    <n v="0.1"/>
    <s v="0-2 Years"/>
    <s v="Company Website"/>
    <n v="88"/>
    <n v="88"/>
    <n v="5"/>
    <n v="14"/>
    <x v="0"/>
    <m/>
    <x v="0"/>
  </r>
  <r>
    <n v="12"/>
    <s v="Employee_012"/>
    <x v="1"/>
    <n v="53"/>
    <x v="1"/>
    <x v="0"/>
    <x v="8"/>
    <n v="34000"/>
    <d v="2021-01-01T00:00:00"/>
    <n v="5.8"/>
    <s v="6-8 Years"/>
    <s v="Naukri"/>
    <n v="76.8"/>
    <n v="83.9"/>
    <n v="16"/>
    <n v="6"/>
    <x v="0"/>
    <m/>
    <x v="3"/>
  </r>
  <r>
    <n v="13"/>
    <s v="Employee_013"/>
    <x v="0"/>
    <n v="41"/>
    <x v="2"/>
    <x v="3"/>
    <x v="3"/>
    <n v="67000"/>
    <d v="2024-06-24T00:00:00"/>
    <n v="2.2999999999999998"/>
    <s v="3-5 Years"/>
    <s v="Indeed"/>
    <n v="92.8"/>
    <n v="96.6"/>
    <n v="1"/>
    <n v="7"/>
    <x v="0"/>
    <m/>
    <x v="2"/>
  </r>
  <r>
    <n v="14"/>
    <s v="Employee_014"/>
    <x v="1"/>
    <n v="25"/>
    <x v="3"/>
    <x v="1"/>
    <x v="9"/>
    <n v="58000"/>
    <d v="2024-12-21T00:00:00"/>
    <n v="1.8"/>
    <s v="0-2 Years"/>
    <s v="Campus Recruitment"/>
    <n v="87.9"/>
    <n v="84.2"/>
    <n v="5"/>
    <n v="8"/>
    <x v="0"/>
    <m/>
    <x v="2"/>
  </r>
  <r>
    <n v="15"/>
    <s v="Employee_015"/>
    <x v="1"/>
    <n v="34"/>
    <x v="0"/>
    <x v="2"/>
    <x v="10"/>
    <n v="36000"/>
    <d v="2025-01-17T00:00:00"/>
    <n v="1.7"/>
    <s v="0-2 Years"/>
    <s v="Company Website"/>
    <n v="85.7"/>
    <n v="89"/>
    <n v="16"/>
    <n v="14"/>
    <x v="0"/>
    <m/>
    <x v="0"/>
  </r>
  <r>
    <n v="16"/>
    <s v="Employee_016"/>
    <x v="0"/>
    <n v="42"/>
    <x v="2"/>
    <x v="4"/>
    <x v="11"/>
    <n v="27000"/>
    <d v="2019-03-28T00:00:00"/>
    <n v="7.5"/>
    <s v="6-8 Years"/>
    <s v="LinkedIn"/>
    <n v="80.3"/>
    <n v="86"/>
    <n v="2"/>
    <n v="1"/>
    <x v="0"/>
    <m/>
    <x v="3"/>
  </r>
  <r>
    <n v="17"/>
    <s v="Employee_017"/>
    <x v="1"/>
    <n v="25"/>
    <x v="3"/>
    <x v="1"/>
    <x v="9"/>
    <n v="56000"/>
    <d v="2024-10-06T00:00:00"/>
    <n v="2"/>
    <s v="0-2 Years"/>
    <s v="Company Website"/>
    <n v="64.2"/>
    <n v="84.3"/>
    <n v="7"/>
    <n v="15"/>
    <x v="1"/>
    <d v="2025-02-23T00:00:00"/>
    <x v="4"/>
  </r>
  <r>
    <n v="18"/>
    <s v="Employee_018"/>
    <x v="0"/>
    <n v="48"/>
    <x v="2"/>
    <x v="4"/>
    <x v="11"/>
    <n v="55000"/>
    <d v="2022-12-22T00:00:00"/>
    <n v="3.8"/>
    <s v="3-5 Years"/>
    <s v="Naukri"/>
    <n v="73.2"/>
    <n v="90.2"/>
    <n v="20"/>
    <n v="3"/>
    <x v="0"/>
    <m/>
    <x v="0"/>
  </r>
  <r>
    <n v="19"/>
    <s v="Employee_019"/>
    <x v="1"/>
    <n v="27"/>
    <x v="3"/>
    <x v="5"/>
    <x v="12"/>
    <n v="57000"/>
    <d v="2021-10-15T00:00:00"/>
    <n v="5"/>
    <s v="3-5 Years"/>
    <s v="Indeed"/>
    <n v="61"/>
    <n v="85.2"/>
    <n v="2"/>
    <n v="14"/>
    <x v="0"/>
    <m/>
    <x v="2"/>
  </r>
  <r>
    <n v="20"/>
    <s v="Employee_020"/>
    <x v="0"/>
    <n v="26"/>
    <x v="3"/>
    <x v="1"/>
    <x v="9"/>
    <n v="69000"/>
    <d v="2021-08-26T00:00:00"/>
    <n v="5.0999999999999996"/>
    <s v="6-8 Years"/>
    <s v="Company Website"/>
    <n v="62.2"/>
    <n v="90.5"/>
    <n v="1"/>
    <n v="5"/>
    <x v="0"/>
    <m/>
    <x v="4"/>
  </r>
  <r>
    <n v="21"/>
    <s v="Employee_021"/>
    <x v="1"/>
    <n v="50"/>
    <x v="2"/>
    <x v="1"/>
    <x v="13"/>
    <n v="28000"/>
    <d v="2022-03-14T00:00:00"/>
    <n v="4.5999999999999996"/>
    <s v="3-5 Years"/>
    <s v="Indeed"/>
    <n v="97.8"/>
    <n v="91.7"/>
    <n v="6"/>
    <n v="9"/>
    <x v="0"/>
    <m/>
    <x v="3"/>
  </r>
  <r>
    <n v="22"/>
    <s v="Employee_022"/>
    <x v="1"/>
    <n v="24"/>
    <x v="3"/>
    <x v="1"/>
    <x v="9"/>
    <n v="69000"/>
    <d v="2019-07-25T00:00:00"/>
    <n v="7.2"/>
    <s v="6-8 Years"/>
    <s v="LinkedIn"/>
    <n v="80.099999999999994"/>
    <n v="90.8"/>
    <n v="16"/>
    <n v="2"/>
    <x v="1"/>
    <d v="2026-04-28T00:00:00"/>
    <x v="3"/>
  </r>
  <r>
    <n v="23"/>
    <s v="Employee_023"/>
    <x v="0"/>
    <n v="46"/>
    <x v="2"/>
    <x v="1"/>
    <x v="9"/>
    <n v="69000"/>
    <d v="2020-05-06T00:00:00"/>
    <n v="6.4"/>
    <s v="6-8 Years"/>
    <s v="Company Website"/>
    <n v="79.900000000000006"/>
    <n v="82.7"/>
    <n v="21"/>
    <n v="18"/>
    <x v="0"/>
    <m/>
    <x v="2"/>
  </r>
  <r>
    <n v="24"/>
    <s v="Employee_024"/>
    <x v="1"/>
    <n v="34"/>
    <x v="0"/>
    <x v="6"/>
    <x v="14"/>
    <n v="38000"/>
    <d v="2026-07-06T00:00:00"/>
    <n v="0.3"/>
    <s v="0-2 Years"/>
    <s v="Indeed"/>
    <n v="85.8"/>
    <n v="86.2"/>
    <n v="21"/>
    <n v="9"/>
    <x v="0"/>
    <m/>
    <x v="4"/>
  </r>
  <r>
    <n v="25"/>
    <s v="Employee_025"/>
    <x v="0"/>
    <n v="50"/>
    <x v="2"/>
    <x v="3"/>
    <x v="3"/>
    <n v="77000"/>
    <d v="2025-12-19T00:00:00"/>
    <n v="0.8"/>
    <s v="0-2 Years"/>
    <s v="Indeed"/>
    <n v="58.2"/>
    <n v="85.7"/>
    <n v="11"/>
    <n v="2"/>
    <x v="0"/>
    <m/>
    <x v="3"/>
  </r>
  <r>
    <n v="26"/>
    <s v="Employee_026"/>
    <x v="0"/>
    <n v="49"/>
    <x v="2"/>
    <x v="3"/>
    <x v="15"/>
    <n v="44000"/>
    <d v="2025-02-03T00:00:00"/>
    <n v="1.7"/>
    <s v="0-2 Years"/>
    <s v="Naukri"/>
    <n v="85.3"/>
    <n v="92.7"/>
    <n v="17"/>
    <n v="9"/>
    <x v="1"/>
    <d v="2026-09-28T00:00:00"/>
    <x v="0"/>
  </r>
  <r>
    <n v="27"/>
    <s v="Employee_027"/>
    <x v="0"/>
    <n v="27"/>
    <x v="3"/>
    <x v="4"/>
    <x v="5"/>
    <n v="46000"/>
    <d v="2025-03-16T00:00:00"/>
    <n v="1.6"/>
    <s v="0-2 Years"/>
    <s v="Campus Recruitment"/>
    <n v="64.099999999999994"/>
    <n v="88"/>
    <n v="15"/>
    <n v="8"/>
    <x v="0"/>
    <m/>
    <x v="0"/>
  </r>
  <r>
    <n v="28"/>
    <s v="Employee_028"/>
    <x v="1"/>
    <n v="23"/>
    <x v="3"/>
    <x v="1"/>
    <x v="13"/>
    <n v="63000"/>
    <d v="2019-01-15T00:00:00"/>
    <n v="7.7"/>
    <s v="6-8 Years"/>
    <s v="Indeed"/>
    <n v="69.3"/>
    <n v="84.3"/>
    <n v="23"/>
    <n v="14"/>
    <x v="0"/>
    <m/>
    <x v="2"/>
  </r>
  <r>
    <n v="29"/>
    <s v="Employee_029"/>
    <x v="0"/>
    <n v="28"/>
    <x v="3"/>
    <x v="0"/>
    <x v="16"/>
    <n v="60000"/>
    <d v="2019-11-05T00:00:00"/>
    <n v="6.9"/>
    <s v="6-8 Years"/>
    <s v="Campus Recruitment"/>
    <n v="61.4"/>
    <n v="82.6"/>
    <n v="17"/>
    <n v="4"/>
    <x v="0"/>
    <m/>
    <x v="4"/>
  </r>
  <r>
    <n v="30"/>
    <s v="Employee_030"/>
    <x v="1"/>
    <n v="44"/>
    <x v="2"/>
    <x v="4"/>
    <x v="11"/>
    <n v="37000"/>
    <d v="2019-06-13T00:00:00"/>
    <n v="7.3"/>
    <s v="6-8 Years"/>
    <s v="Naukri"/>
    <n v="93.7"/>
    <n v="85.7"/>
    <n v="3"/>
    <n v="11"/>
    <x v="0"/>
    <m/>
    <x v="2"/>
  </r>
  <r>
    <n v="31"/>
    <s v="Employee_031"/>
    <x v="0"/>
    <n v="36"/>
    <x v="0"/>
    <x v="2"/>
    <x v="17"/>
    <n v="50000"/>
    <d v="2020-10-27T00:00:00"/>
    <n v="5.9"/>
    <s v="6-8 Years"/>
    <s v="Company Website"/>
    <n v="92.9"/>
    <n v="82.4"/>
    <n v="21"/>
    <n v="7"/>
    <x v="0"/>
    <m/>
    <x v="1"/>
  </r>
  <r>
    <n v="32"/>
    <s v="Employee_032"/>
    <x v="0"/>
    <n v="45"/>
    <x v="2"/>
    <x v="4"/>
    <x v="4"/>
    <n v="39000"/>
    <d v="2019-06-08T00:00:00"/>
    <n v="7.3"/>
    <s v="6-8 Years"/>
    <s v="Employee Referral"/>
    <n v="91.9"/>
    <n v="85.9"/>
    <n v="9"/>
    <n v="7"/>
    <x v="0"/>
    <m/>
    <x v="3"/>
  </r>
  <r>
    <n v="33"/>
    <s v="Employee_033"/>
    <x v="1"/>
    <n v="42"/>
    <x v="2"/>
    <x v="1"/>
    <x v="1"/>
    <n v="75000"/>
    <d v="2022-02-15T00:00:00"/>
    <n v="4.5999999999999996"/>
    <s v="3-5 Years"/>
    <s v="Naukri"/>
    <n v="67"/>
    <n v="93.2"/>
    <n v="17"/>
    <n v="10"/>
    <x v="0"/>
    <m/>
    <x v="0"/>
  </r>
  <r>
    <n v="34"/>
    <s v="Employee_034"/>
    <x v="0"/>
    <n v="58"/>
    <x v="1"/>
    <x v="1"/>
    <x v="18"/>
    <n v="31000"/>
    <d v="2021-12-23T00:00:00"/>
    <n v="4.8"/>
    <s v="3-5 Years"/>
    <s v="Naukri"/>
    <n v="56.6"/>
    <n v="92.4"/>
    <n v="10"/>
    <n v="13"/>
    <x v="0"/>
    <m/>
    <x v="2"/>
  </r>
  <r>
    <n v="35"/>
    <s v="Employee_035"/>
    <x v="1"/>
    <n v="57"/>
    <x v="1"/>
    <x v="6"/>
    <x v="19"/>
    <n v="42000"/>
    <d v="2021-02-17T00:00:00"/>
    <n v="5.6"/>
    <s v="6-8 Years"/>
    <s v="Indeed"/>
    <n v="55.1"/>
    <n v="98.2"/>
    <n v="11"/>
    <n v="13"/>
    <x v="1"/>
    <d v="2024-11-19T00:00:00"/>
    <x v="0"/>
  </r>
  <r>
    <n v="36"/>
    <s v="Employee_036"/>
    <x v="1"/>
    <n v="28"/>
    <x v="3"/>
    <x v="0"/>
    <x v="16"/>
    <n v="61000"/>
    <d v="2022-05-15T00:00:00"/>
    <n v="4.4000000000000004"/>
    <s v="3-5 Years"/>
    <s v="Company Website"/>
    <n v="76.8"/>
    <n v="93.7"/>
    <n v="22"/>
    <n v="9"/>
    <x v="0"/>
    <m/>
    <x v="2"/>
  </r>
  <r>
    <n v="37"/>
    <s v="Employee_037"/>
    <x v="1"/>
    <n v="45"/>
    <x v="2"/>
    <x v="4"/>
    <x v="11"/>
    <n v="41000"/>
    <d v="2026-08-06T00:00:00"/>
    <n v="0.2"/>
    <s v="0-2 Years"/>
    <s v="Employee Referral"/>
    <n v="79.5"/>
    <n v="89.1"/>
    <n v="9"/>
    <n v="6"/>
    <x v="0"/>
    <m/>
    <x v="4"/>
  </r>
  <r>
    <n v="38"/>
    <s v="Employee_038"/>
    <x v="1"/>
    <n v="50"/>
    <x v="2"/>
    <x v="2"/>
    <x v="10"/>
    <n v="31000"/>
    <d v="2023-12-15T00:00:00"/>
    <n v="2.8"/>
    <s v="3-5 Years"/>
    <s v="Naukri"/>
    <n v="74"/>
    <n v="85.7"/>
    <n v="5"/>
    <n v="2"/>
    <x v="0"/>
    <m/>
    <x v="1"/>
  </r>
  <r>
    <n v="39"/>
    <s v="Employee_039"/>
    <x v="1"/>
    <n v="26"/>
    <x v="3"/>
    <x v="6"/>
    <x v="20"/>
    <n v="39000"/>
    <d v="2021-08-20T00:00:00"/>
    <n v="5.0999999999999996"/>
    <s v="6-8 Years"/>
    <s v="Company Website"/>
    <n v="63.6"/>
    <n v="82.4"/>
    <n v="19"/>
    <n v="2"/>
    <x v="0"/>
    <m/>
    <x v="4"/>
  </r>
  <r>
    <n v="40"/>
    <s v="Employee_040"/>
    <x v="0"/>
    <n v="45"/>
    <x v="2"/>
    <x v="5"/>
    <x v="12"/>
    <n v="44000"/>
    <d v="2024-07-17T00:00:00"/>
    <n v="2.2000000000000002"/>
    <s v="3-5 Years"/>
    <s v="LinkedIn"/>
    <n v="72.2"/>
    <n v="84.6"/>
    <n v="24"/>
    <n v="13"/>
    <x v="0"/>
    <m/>
    <x v="3"/>
  </r>
  <r>
    <n v="41"/>
    <s v="Employee_041"/>
    <x v="1"/>
    <n v="24"/>
    <x v="3"/>
    <x v="4"/>
    <x v="4"/>
    <n v="42000"/>
    <d v="2024-04-02T00:00:00"/>
    <n v="1.5"/>
    <s v="0-2 Years"/>
    <s v="Campus Recruitment"/>
    <n v="74.599999999999994"/>
    <n v="96"/>
    <n v="10"/>
    <n v="14"/>
    <x v="1"/>
    <d v="2025-03-13T00:00:00"/>
    <x v="2"/>
  </r>
  <r>
    <n v="42"/>
    <s v="Employee_042"/>
    <x v="1"/>
    <n v="56"/>
    <x v="1"/>
    <x v="2"/>
    <x v="10"/>
    <n v="51000"/>
    <d v="2024-01-01T00:00:00"/>
    <n v="2.8"/>
    <s v="3-5 Years"/>
    <s v="Company Website"/>
    <n v="93.6"/>
    <n v="95"/>
    <n v="8"/>
    <n v="7"/>
    <x v="0"/>
    <m/>
    <x v="1"/>
  </r>
  <r>
    <n v="43"/>
    <s v="Employee_043"/>
    <x v="1"/>
    <n v="36"/>
    <x v="0"/>
    <x v="2"/>
    <x v="10"/>
    <n v="24000"/>
    <d v="2022-01-29T00:00:00"/>
    <n v="4.7"/>
    <s v="3-5 Years"/>
    <s v="Indeed"/>
    <n v="65.099999999999994"/>
    <n v="87.9"/>
    <n v="4"/>
    <n v="7"/>
    <x v="1"/>
    <d v="2026-07-16T00:00:00"/>
    <x v="4"/>
  </r>
  <r>
    <n v="44"/>
    <s v="Employee_044"/>
    <x v="0"/>
    <n v="25"/>
    <x v="3"/>
    <x v="0"/>
    <x v="0"/>
    <n v="51000"/>
    <d v="2023-08-27T00:00:00"/>
    <n v="3.1"/>
    <s v="3-5 Years"/>
    <s v="LinkedIn"/>
    <n v="72.5"/>
    <n v="91.5"/>
    <n v="6"/>
    <n v="13"/>
    <x v="0"/>
    <m/>
    <x v="4"/>
  </r>
  <r>
    <n v="45"/>
    <s v="Employee_045"/>
    <x v="0"/>
    <n v="57"/>
    <x v="1"/>
    <x v="2"/>
    <x v="10"/>
    <n v="18000"/>
    <d v="2023-04-08T00:00:00"/>
    <n v="3.5"/>
    <s v="3-5 Years"/>
    <s v="Campus Recruitment"/>
    <n v="67.8"/>
    <n v="88.8"/>
    <n v="23"/>
    <n v="17"/>
    <x v="0"/>
    <m/>
    <x v="2"/>
  </r>
  <r>
    <n v="46"/>
    <s v="Employee_046"/>
    <x v="0"/>
    <n v="38"/>
    <x v="0"/>
    <x v="4"/>
    <x v="5"/>
    <n v="45000"/>
    <d v="2023-11-21T00:00:00"/>
    <n v="2.9"/>
    <s v="3-5 Years"/>
    <s v="Naukri"/>
    <n v="75.900000000000006"/>
    <n v="88.8"/>
    <n v="5"/>
    <n v="14"/>
    <x v="0"/>
    <m/>
    <x v="3"/>
  </r>
  <r>
    <n v="47"/>
    <s v="Employee_047"/>
    <x v="0"/>
    <n v="46"/>
    <x v="2"/>
    <x v="6"/>
    <x v="20"/>
    <n v="40000"/>
    <d v="2025-08-21T00:00:00"/>
    <n v="1.1000000000000001"/>
    <s v="0-2 Years"/>
    <s v="Indeed"/>
    <n v="82.6"/>
    <n v="84.4"/>
    <n v="1"/>
    <n v="8"/>
    <x v="0"/>
    <m/>
    <x v="4"/>
  </r>
  <r>
    <n v="48"/>
    <s v="Employee_048"/>
    <x v="1"/>
    <n v="41"/>
    <x v="2"/>
    <x v="3"/>
    <x v="3"/>
    <n v="44000"/>
    <d v="2022-10-14T00:00:00"/>
    <n v="4"/>
    <s v="3-5 Years"/>
    <s v="Employee Referral"/>
    <n v="87.7"/>
    <n v="88.6"/>
    <n v="2"/>
    <n v="15"/>
    <x v="0"/>
    <m/>
    <x v="0"/>
  </r>
  <r>
    <n v="49"/>
    <s v="Employee_049"/>
    <x v="0"/>
    <n v="43"/>
    <x v="2"/>
    <x v="0"/>
    <x v="8"/>
    <n v="35000"/>
    <d v="2021-07-07T00:00:00"/>
    <n v="5.3"/>
    <s v="6-8 Years"/>
    <s v="Indeed"/>
    <n v="83"/>
    <n v="95.2"/>
    <n v="0"/>
    <n v="4"/>
    <x v="0"/>
    <m/>
    <x v="3"/>
  </r>
  <r>
    <n v="50"/>
    <s v="Employee_050"/>
    <x v="0"/>
    <n v="57"/>
    <x v="1"/>
    <x v="4"/>
    <x v="5"/>
    <n v="28000"/>
    <d v="2021-06-11T00:00:00"/>
    <n v="5.3"/>
    <s v="6-8 Years"/>
    <s v="Indeed"/>
    <n v="75"/>
    <n v="86.5"/>
    <n v="19"/>
    <n v="3"/>
    <x v="0"/>
    <m/>
    <x v="3"/>
  </r>
  <r>
    <n v="51"/>
    <s v="Employee_051"/>
    <x v="0"/>
    <n v="40"/>
    <x v="0"/>
    <x v="3"/>
    <x v="3"/>
    <n v="34000"/>
    <d v="2025-06-16T00:00:00"/>
    <n v="1.3"/>
    <s v="0-2 Years"/>
    <s v="Campus Recruitment"/>
    <n v="72.099999999999994"/>
    <n v="94.5"/>
    <n v="22"/>
    <n v="7"/>
    <x v="0"/>
    <m/>
    <x v="0"/>
  </r>
  <r>
    <n v="52"/>
    <s v="Employee_052"/>
    <x v="0"/>
    <n v="57"/>
    <x v="1"/>
    <x v="0"/>
    <x v="16"/>
    <n v="23000"/>
    <d v="2019-06-18T00:00:00"/>
    <n v="7.3"/>
    <s v="6-8 Years"/>
    <s v="LinkedIn"/>
    <n v="69.900000000000006"/>
    <n v="89.5"/>
    <n v="16"/>
    <n v="10"/>
    <x v="0"/>
    <m/>
    <x v="0"/>
  </r>
  <r>
    <n v="53"/>
    <s v="Employee_053"/>
    <x v="1"/>
    <n v="27"/>
    <x v="3"/>
    <x v="2"/>
    <x v="17"/>
    <n v="46000"/>
    <d v="2023-11-11T00:00:00"/>
    <n v="2.9"/>
    <s v="3-5 Years"/>
    <s v="Indeed"/>
    <n v="90.6"/>
    <n v="94.4"/>
    <n v="23"/>
    <n v="16"/>
    <x v="0"/>
    <m/>
    <x v="1"/>
  </r>
  <r>
    <n v="54"/>
    <s v="Employee_054"/>
    <x v="1"/>
    <n v="50"/>
    <x v="2"/>
    <x v="6"/>
    <x v="20"/>
    <n v="39000"/>
    <d v="2023-11-20T00:00:00"/>
    <n v="2.9"/>
    <s v="3-5 Years"/>
    <s v="Indeed"/>
    <n v="90.5"/>
    <n v="92.4"/>
    <n v="2"/>
    <n v="8"/>
    <x v="0"/>
    <m/>
    <x v="4"/>
  </r>
  <r>
    <n v="55"/>
    <s v="Employee_055"/>
    <x v="1"/>
    <n v="42"/>
    <x v="2"/>
    <x v="4"/>
    <x v="5"/>
    <n v="33000"/>
    <d v="2019-04-28T00:00:00"/>
    <n v="7.4"/>
    <s v="6-8 Years"/>
    <s v="Employee Referral"/>
    <n v="76"/>
    <n v="88.2"/>
    <n v="8"/>
    <n v="8"/>
    <x v="0"/>
    <m/>
    <x v="2"/>
  </r>
  <r>
    <n v="56"/>
    <s v="Employee_056"/>
    <x v="0"/>
    <n v="36"/>
    <x v="0"/>
    <x v="1"/>
    <x v="1"/>
    <n v="55000"/>
    <d v="2023-07-23T00:00:00"/>
    <n v="3.2"/>
    <s v="3-5 Years"/>
    <s v="Naukri"/>
    <n v="76"/>
    <n v="95.3"/>
    <n v="22"/>
    <n v="15"/>
    <x v="0"/>
    <m/>
    <x v="4"/>
  </r>
  <r>
    <n v="57"/>
    <s v="Employee_057"/>
    <x v="0"/>
    <n v="39"/>
    <x v="0"/>
    <x v="2"/>
    <x v="2"/>
    <n v="31000"/>
    <d v="2021-06-26T00:00:00"/>
    <n v="5.3"/>
    <s v="6-8 Years"/>
    <s v="Employee Referral"/>
    <n v="83.6"/>
    <n v="88.5"/>
    <n v="13"/>
    <n v="17"/>
    <x v="1"/>
    <d v="2025-04-11T00:00:00"/>
    <x v="1"/>
  </r>
  <r>
    <n v="58"/>
    <s v="Employee_058"/>
    <x v="1"/>
    <n v="38"/>
    <x v="0"/>
    <x v="3"/>
    <x v="7"/>
    <n v="49000"/>
    <d v="2022-06-09T00:00:00"/>
    <n v="4.3"/>
    <s v="3-5 Years"/>
    <s v="Employee Referral"/>
    <n v="65.8"/>
    <n v="84.1"/>
    <n v="3"/>
    <n v="17"/>
    <x v="0"/>
    <m/>
    <x v="3"/>
  </r>
  <r>
    <n v="59"/>
    <s v="Employee_059"/>
    <x v="1"/>
    <n v="38"/>
    <x v="0"/>
    <x v="4"/>
    <x v="11"/>
    <n v="53000"/>
    <d v="2025-08-11T00:00:00"/>
    <n v="1.2"/>
    <s v="0-2 Years"/>
    <s v="Employee Referral"/>
    <n v="67.2"/>
    <n v="83.8"/>
    <n v="7"/>
    <n v="11"/>
    <x v="0"/>
    <m/>
    <x v="3"/>
  </r>
  <r>
    <n v="60"/>
    <s v="Employee_060"/>
    <x v="0"/>
    <n v="38"/>
    <x v="0"/>
    <x v="3"/>
    <x v="3"/>
    <n v="43000"/>
    <d v="2019-07-06T00:00:00"/>
    <n v="7.3"/>
    <s v="6-8 Years"/>
    <s v="Naukri"/>
    <n v="96.9"/>
    <n v="91.7"/>
    <n v="24"/>
    <n v="15"/>
    <x v="0"/>
    <m/>
    <x v="0"/>
  </r>
  <r>
    <n v="61"/>
    <s v="Employee_061"/>
    <x v="1"/>
    <n v="51"/>
    <x v="1"/>
    <x v="2"/>
    <x v="2"/>
    <n v="31000"/>
    <d v="2024-05-14T00:00:00"/>
    <n v="2.4"/>
    <s v="3-5 Years"/>
    <s v="LinkedIn"/>
    <n v="57.2"/>
    <n v="98.5"/>
    <n v="2"/>
    <n v="12"/>
    <x v="0"/>
    <m/>
    <x v="4"/>
  </r>
  <r>
    <n v="62"/>
    <s v="Employee_062"/>
    <x v="0"/>
    <n v="30"/>
    <x v="3"/>
    <x v="1"/>
    <x v="9"/>
    <n v="57000"/>
    <d v="2025-04-24T00:00:00"/>
    <n v="1.5"/>
    <s v="0-2 Years"/>
    <s v="LinkedIn"/>
    <n v="95.8"/>
    <n v="83.5"/>
    <n v="17"/>
    <n v="13"/>
    <x v="0"/>
    <m/>
    <x v="2"/>
  </r>
  <r>
    <n v="63"/>
    <s v="Employee_063"/>
    <x v="0"/>
    <n v="54"/>
    <x v="1"/>
    <x v="6"/>
    <x v="20"/>
    <n v="33000"/>
    <d v="2023-04-08T00:00:00"/>
    <n v="3.5"/>
    <s v="3-5 Years"/>
    <s v="Campus Recruitment"/>
    <n v="92"/>
    <n v="99.3"/>
    <n v="19"/>
    <n v="1"/>
    <x v="0"/>
    <m/>
    <x v="2"/>
  </r>
  <r>
    <n v="64"/>
    <s v="Employee_064"/>
    <x v="0"/>
    <n v="34"/>
    <x v="0"/>
    <x v="0"/>
    <x v="0"/>
    <n v="49000"/>
    <d v="2021-12-19T00:00:00"/>
    <n v="4.8"/>
    <s v="3-5 Years"/>
    <s v="Campus Recruitment"/>
    <n v="83.4"/>
    <n v="84.7"/>
    <n v="2"/>
    <n v="5"/>
    <x v="0"/>
    <m/>
    <x v="0"/>
  </r>
  <r>
    <n v="65"/>
    <s v="Employee_065"/>
    <x v="1"/>
    <n v="39"/>
    <x v="0"/>
    <x v="5"/>
    <x v="6"/>
    <n v="54000"/>
    <d v="2019-05-14T00:00:00"/>
    <n v="7.4"/>
    <s v="6-8 Years"/>
    <s v="Employee Referral"/>
    <n v="85.2"/>
    <n v="89.9"/>
    <n v="20"/>
    <n v="18"/>
    <x v="0"/>
    <m/>
    <x v="3"/>
  </r>
  <r>
    <n v="66"/>
    <s v="Employee_066"/>
    <x v="0"/>
    <n v="30"/>
    <x v="3"/>
    <x v="5"/>
    <x v="21"/>
    <n v="69000"/>
    <d v="2021-12-24T00:00:00"/>
    <n v="4.8"/>
    <s v="3-5 Years"/>
    <s v="Employee Referral"/>
    <n v="90.5"/>
    <n v="83.2"/>
    <n v="19"/>
    <n v="18"/>
    <x v="0"/>
    <m/>
    <x v="1"/>
  </r>
  <r>
    <n v="67"/>
    <s v="Employee_067"/>
    <x v="1"/>
    <n v="40"/>
    <x v="0"/>
    <x v="5"/>
    <x v="21"/>
    <n v="64000"/>
    <d v="2023-07-07T00:00:00"/>
    <n v="3.3"/>
    <s v="3-5 Years"/>
    <s v="Company Website"/>
    <n v="76.2"/>
    <n v="83.4"/>
    <n v="23"/>
    <n v="10"/>
    <x v="0"/>
    <m/>
    <x v="2"/>
  </r>
  <r>
    <n v="68"/>
    <s v="Employee_068"/>
    <x v="0"/>
    <n v="35"/>
    <x v="0"/>
    <x v="3"/>
    <x v="3"/>
    <n v="40000"/>
    <d v="2026-07-24T00:00:00"/>
    <n v="0.2"/>
    <s v="0-2 Years"/>
    <s v="Naukri"/>
    <n v="90.9"/>
    <n v="92.1"/>
    <n v="8"/>
    <n v="18"/>
    <x v="0"/>
    <m/>
    <x v="0"/>
  </r>
  <r>
    <n v="69"/>
    <s v="Employee_069"/>
    <x v="1"/>
    <n v="54"/>
    <x v="1"/>
    <x v="2"/>
    <x v="2"/>
    <n v="30000"/>
    <d v="2026-04-22T00:00:00"/>
    <n v="0.5"/>
    <s v="0-2 Years"/>
    <s v="LinkedIn"/>
    <n v="97.9"/>
    <n v="89.6"/>
    <n v="15"/>
    <n v="11"/>
    <x v="0"/>
    <m/>
    <x v="4"/>
  </r>
  <r>
    <n v="70"/>
    <s v="Employee_070"/>
    <x v="0"/>
    <n v="31"/>
    <x v="0"/>
    <x v="3"/>
    <x v="15"/>
    <n v="47000"/>
    <d v="2022-09-12T00:00:00"/>
    <n v="4.0999999999999996"/>
    <s v="3-5 Years"/>
    <s v="Campus Recruitment"/>
    <n v="72.7"/>
    <n v="90.7"/>
    <n v="1"/>
    <n v="14"/>
    <x v="0"/>
    <m/>
    <x v="0"/>
  </r>
  <r>
    <n v="71"/>
    <s v="Employee_071"/>
    <x v="1"/>
    <n v="28"/>
    <x v="3"/>
    <x v="3"/>
    <x v="15"/>
    <n v="57000"/>
    <d v="2023-07-14T00:00:00"/>
    <n v="3.2"/>
    <s v="3-5 Years"/>
    <s v="Company Website"/>
    <n v="55"/>
    <n v="97.2"/>
    <n v="1"/>
    <n v="6"/>
    <x v="0"/>
    <m/>
    <x v="2"/>
  </r>
  <r>
    <n v="72"/>
    <s v="Employee_072"/>
    <x v="1"/>
    <n v="49"/>
    <x v="2"/>
    <x v="3"/>
    <x v="7"/>
    <n v="31000"/>
    <d v="2019-07-31T00:00:00"/>
    <n v="7.2"/>
    <s v="6-8 Years"/>
    <s v="Company Website"/>
    <n v="63.8"/>
    <n v="91.6"/>
    <n v="22"/>
    <n v="15"/>
    <x v="0"/>
    <m/>
    <x v="0"/>
  </r>
  <r>
    <n v="73"/>
    <s v="Employee_073"/>
    <x v="0"/>
    <n v="40"/>
    <x v="0"/>
    <x v="1"/>
    <x v="1"/>
    <n v="67000"/>
    <d v="2025-03-06T00:00:00"/>
    <n v="1.6"/>
    <s v="0-2 Years"/>
    <s v="Company Website"/>
    <n v="64.7"/>
    <n v="96.7"/>
    <n v="3"/>
    <n v="4"/>
    <x v="0"/>
    <m/>
    <x v="4"/>
  </r>
  <r>
    <n v="74"/>
    <s v="Employee_074"/>
    <x v="1"/>
    <n v="47"/>
    <x v="2"/>
    <x v="0"/>
    <x v="16"/>
    <n v="46000"/>
    <d v="2024-05-30T00:00:00"/>
    <n v="2.4"/>
    <s v="3-5 Years"/>
    <s v="Company Website"/>
    <n v="97.2"/>
    <n v="86.3"/>
    <n v="6"/>
    <n v="16"/>
    <x v="1"/>
    <d v="2026-05-11T00:00:00"/>
    <x v="3"/>
  </r>
  <r>
    <n v="75"/>
    <s v="Employee_075"/>
    <x v="1"/>
    <n v="47"/>
    <x v="2"/>
    <x v="2"/>
    <x v="2"/>
    <n v="44000"/>
    <d v="2022-10-24T00:00:00"/>
    <n v="4"/>
    <s v="3-5 Years"/>
    <s v="Campus Recruitment"/>
    <n v="90.3"/>
    <n v="86.9"/>
    <n v="18"/>
    <n v="15"/>
    <x v="0"/>
    <m/>
    <x v="3"/>
  </r>
  <r>
    <n v="76"/>
    <s v="Employee_076"/>
    <x v="1"/>
    <n v="43"/>
    <x v="2"/>
    <x v="5"/>
    <x v="12"/>
    <n v="46000"/>
    <d v="2022-09-23T00:00:00"/>
    <n v="4"/>
    <s v="3-5 Years"/>
    <s v="Employee Referral"/>
    <n v="78.7"/>
    <n v="91.5"/>
    <n v="6"/>
    <n v="7"/>
    <x v="0"/>
    <m/>
    <x v="2"/>
  </r>
  <r>
    <n v="77"/>
    <s v="Employee_077"/>
    <x v="1"/>
    <n v="23"/>
    <x v="3"/>
    <x v="5"/>
    <x v="21"/>
    <n v="51000"/>
    <d v="2022-07-27T00:00:00"/>
    <n v="4.2"/>
    <s v="3-5 Years"/>
    <s v="Company Website"/>
    <n v="89.9"/>
    <n v="88.8"/>
    <n v="1"/>
    <n v="4"/>
    <x v="0"/>
    <m/>
    <x v="2"/>
  </r>
  <r>
    <n v="78"/>
    <s v="Employee_078"/>
    <x v="0"/>
    <n v="49"/>
    <x v="2"/>
    <x v="6"/>
    <x v="14"/>
    <n v="28000"/>
    <d v="2020-02-13T00:00:00"/>
    <n v="6.6"/>
    <s v="6-8 Years"/>
    <s v="Company Website"/>
    <n v="77.599999999999994"/>
    <n v="90"/>
    <n v="20"/>
    <n v="4"/>
    <x v="0"/>
    <m/>
    <x v="0"/>
  </r>
  <r>
    <n v="79"/>
    <s v="Employee_079"/>
    <x v="1"/>
    <n v="46"/>
    <x v="2"/>
    <x v="5"/>
    <x v="6"/>
    <n v="60000"/>
    <d v="2026-04-15T00:00:00"/>
    <n v="0.5"/>
    <s v="0-2 Years"/>
    <s v="Naukri"/>
    <n v="84"/>
    <n v="91.3"/>
    <n v="22"/>
    <n v="15"/>
    <x v="0"/>
    <m/>
    <x v="2"/>
  </r>
  <r>
    <n v="80"/>
    <s v="Employee_080"/>
    <x v="0"/>
    <n v="39"/>
    <x v="0"/>
    <x v="1"/>
    <x v="9"/>
    <n v="60000"/>
    <d v="2021-07-20T00:00:00"/>
    <n v="5.2"/>
    <s v="6-8 Years"/>
    <s v="Naukri"/>
    <n v="87.1"/>
    <n v="89.6"/>
    <n v="22"/>
    <n v="3"/>
    <x v="0"/>
    <m/>
    <x v="4"/>
  </r>
  <r>
    <n v="81"/>
    <s v="Employee_081"/>
    <x v="1"/>
    <n v="22"/>
    <x v="3"/>
    <x v="4"/>
    <x v="4"/>
    <n v="40000"/>
    <d v="2019-07-08T00:00:00"/>
    <n v="7.2"/>
    <s v="6-8 Years"/>
    <s v="Campus Recruitment"/>
    <n v="70.400000000000006"/>
    <n v="89.5"/>
    <n v="13"/>
    <n v="18"/>
    <x v="0"/>
    <m/>
    <x v="3"/>
  </r>
  <r>
    <n v="82"/>
    <s v="Employee_082"/>
    <x v="0"/>
    <n v="45"/>
    <x v="2"/>
    <x v="4"/>
    <x v="11"/>
    <n v="44000"/>
    <d v="2025-12-13T00:00:00"/>
    <n v="0.8"/>
    <s v="0-2 Years"/>
    <s v="Indeed"/>
    <n v="84.4"/>
    <n v="90.7"/>
    <n v="14"/>
    <n v="8"/>
    <x v="1"/>
    <d v="2026-05-13T00:00:00"/>
    <x v="4"/>
  </r>
  <r>
    <n v="83"/>
    <s v="Employee_083"/>
    <x v="0"/>
    <n v="50"/>
    <x v="2"/>
    <x v="3"/>
    <x v="7"/>
    <n v="42000"/>
    <d v="2022-03-24T00:00:00"/>
    <n v="4.5"/>
    <s v="3-5 Years"/>
    <s v="Naukri"/>
    <n v="74"/>
    <n v="88"/>
    <n v="13"/>
    <n v="8"/>
    <x v="1"/>
    <d v="2025-12-04T00:00:00"/>
    <x v="4"/>
  </r>
  <r>
    <n v="84"/>
    <s v="Employee_084"/>
    <x v="0"/>
    <n v="45"/>
    <x v="2"/>
    <x v="2"/>
    <x v="17"/>
    <n v="31000"/>
    <d v="2024-06-02T00:00:00"/>
    <n v="2.2999999999999998"/>
    <s v="3-5 Years"/>
    <s v="Campus Recruitment"/>
    <n v="59.6"/>
    <n v="88.7"/>
    <n v="9"/>
    <n v="9"/>
    <x v="0"/>
    <m/>
    <x v="0"/>
  </r>
  <r>
    <n v="85"/>
    <s v="Employee_085"/>
    <x v="1"/>
    <n v="38"/>
    <x v="0"/>
    <x v="2"/>
    <x v="10"/>
    <n v="24000"/>
    <d v="2019-02-03T00:00:00"/>
    <n v="7.7"/>
    <s v="6-8 Years"/>
    <s v="Employee Referral"/>
    <n v="87"/>
    <n v="82.9"/>
    <n v="24"/>
    <n v="7"/>
    <x v="1"/>
    <d v="2025-05-16T00:00:00"/>
    <x v="2"/>
  </r>
  <r>
    <n v="86"/>
    <s v="Employee_086"/>
    <x v="0"/>
    <n v="33"/>
    <x v="0"/>
    <x v="2"/>
    <x v="17"/>
    <n v="31000"/>
    <d v="2025-12-18T00:00:00"/>
    <n v="0.8"/>
    <s v="0-2 Years"/>
    <s v="Naukri"/>
    <n v="65.8"/>
    <n v="95.2"/>
    <n v="3"/>
    <n v="1"/>
    <x v="0"/>
    <m/>
    <x v="1"/>
  </r>
  <r>
    <n v="87"/>
    <s v="Employee_087"/>
    <x v="0"/>
    <n v="58"/>
    <x v="1"/>
    <x v="2"/>
    <x v="17"/>
    <n v="35000"/>
    <d v="2023-02-03T00:00:00"/>
    <n v="3.7"/>
    <s v="3-5 Years"/>
    <s v="Indeed"/>
    <n v="67.7"/>
    <n v="95.1"/>
    <n v="4"/>
    <n v="17"/>
    <x v="0"/>
    <m/>
    <x v="1"/>
  </r>
  <r>
    <n v="88"/>
    <s v="Employee_088"/>
    <x v="1"/>
    <n v="31"/>
    <x v="0"/>
    <x v="6"/>
    <x v="20"/>
    <n v="38000"/>
    <d v="2021-11-18T00:00:00"/>
    <n v="4.9000000000000004"/>
    <s v="3-5 Years"/>
    <s v="Naukri"/>
    <n v="94.3"/>
    <n v="98.5"/>
    <n v="10"/>
    <n v="3"/>
    <x v="0"/>
    <m/>
    <x v="4"/>
  </r>
  <r>
    <n v="89"/>
    <s v="Employee_089"/>
    <x v="0"/>
    <n v="46"/>
    <x v="2"/>
    <x v="1"/>
    <x v="1"/>
    <n v="40000"/>
    <d v="2025-04-01T00:00:00"/>
    <n v="1.5"/>
    <s v="0-2 Years"/>
    <s v="Employee Referral"/>
    <n v="55.6"/>
    <n v="91.4"/>
    <n v="21"/>
    <n v="8"/>
    <x v="0"/>
    <m/>
    <x v="2"/>
  </r>
  <r>
    <n v="90"/>
    <s v="Employee_090"/>
    <x v="1"/>
    <n v="27"/>
    <x v="3"/>
    <x v="5"/>
    <x v="12"/>
    <n v="67000"/>
    <d v="2026-07-27T00:00:00"/>
    <n v="0.2"/>
    <s v="0-2 Years"/>
    <s v="Employee Referral"/>
    <n v="65.099999999999994"/>
    <n v="82.4"/>
    <n v="19"/>
    <n v="7"/>
    <x v="0"/>
    <m/>
    <x v="0"/>
  </r>
  <r>
    <n v="91"/>
    <s v="Employee_091"/>
    <x v="1"/>
    <n v="47"/>
    <x v="2"/>
    <x v="0"/>
    <x v="16"/>
    <n v="61000"/>
    <d v="2020-04-22T00:00:00"/>
    <n v="6.5"/>
    <s v="6-8 Years"/>
    <s v="Indeed"/>
    <n v="68.099999999999994"/>
    <n v="90.6"/>
    <n v="17"/>
    <n v="4"/>
    <x v="0"/>
    <m/>
    <x v="4"/>
  </r>
  <r>
    <n v="92"/>
    <s v="Employee_092"/>
    <x v="1"/>
    <n v="58"/>
    <x v="1"/>
    <x v="5"/>
    <x v="6"/>
    <n v="73000"/>
    <d v="2020-09-24T00:00:00"/>
    <n v="6"/>
    <s v="6-8 Years"/>
    <s v="Campus Recruitment"/>
    <n v="93.1"/>
    <n v="93.5"/>
    <n v="13"/>
    <n v="8"/>
    <x v="0"/>
    <m/>
    <x v="0"/>
  </r>
  <r>
    <n v="93"/>
    <s v="Employee_093"/>
    <x v="0"/>
    <n v="49"/>
    <x v="2"/>
    <x v="0"/>
    <x v="16"/>
    <n v="64000"/>
    <d v="2023-12-27T00:00:00"/>
    <n v="2.8"/>
    <s v="3-5 Years"/>
    <s v="Employee Referral"/>
    <n v="59.3"/>
    <n v="94"/>
    <n v="1"/>
    <n v="12"/>
    <x v="1"/>
    <d v="2024-12-15T00:00:00"/>
    <x v="1"/>
  </r>
  <r>
    <n v="94"/>
    <s v="Employee_094"/>
    <x v="1"/>
    <n v="26"/>
    <x v="3"/>
    <x v="4"/>
    <x v="11"/>
    <n v="36000"/>
    <d v="2026-06-07T00:00:00"/>
    <n v="0.3"/>
    <s v="0-2 Years"/>
    <s v="LinkedIn"/>
    <n v="64.099999999999994"/>
    <n v="93.2"/>
    <n v="10"/>
    <n v="7"/>
    <x v="0"/>
    <m/>
    <x v="3"/>
  </r>
  <r>
    <n v="95"/>
    <s v="Employee_095"/>
    <x v="0"/>
    <n v="25"/>
    <x v="3"/>
    <x v="2"/>
    <x v="10"/>
    <n v="37000"/>
    <d v="2025-03-20T00:00:00"/>
    <n v="1.5"/>
    <s v="0-2 Years"/>
    <s v="Campus Recruitment"/>
    <n v="92.4"/>
    <n v="87.7"/>
    <n v="0"/>
    <n v="8"/>
    <x v="0"/>
    <m/>
    <x v="3"/>
  </r>
  <r>
    <n v="96"/>
    <s v="Employee_096"/>
    <x v="1"/>
    <n v="32"/>
    <x v="0"/>
    <x v="4"/>
    <x v="4"/>
    <n v="48000"/>
    <d v="2020-03-26T00:00:00"/>
    <n v="6.5"/>
    <s v="6-8 Years"/>
    <s v="Employee Referral"/>
    <n v="83.4"/>
    <n v="82.5"/>
    <n v="7"/>
    <n v="18"/>
    <x v="0"/>
    <m/>
    <x v="1"/>
  </r>
  <r>
    <n v="97"/>
    <s v="Employee_097"/>
    <x v="1"/>
    <n v="24"/>
    <x v="3"/>
    <x v="1"/>
    <x v="1"/>
    <n v="54000"/>
    <d v="2020-06-03T00:00:00"/>
    <n v="6.3"/>
    <s v="6-8 Years"/>
    <s v="Campus Recruitment"/>
    <n v="87.1"/>
    <n v="90.3"/>
    <n v="18"/>
    <n v="3"/>
    <x v="0"/>
    <m/>
    <x v="4"/>
  </r>
  <r>
    <n v="98"/>
    <s v="Employee_098"/>
    <x v="0"/>
    <n v="54"/>
    <x v="1"/>
    <x v="6"/>
    <x v="19"/>
    <n v="31000"/>
    <d v="2022-05-20T00:00:00"/>
    <n v="4.4000000000000004"/>
    <s v="3-5 Years"/>
    <s v="Company Website"/>
    <n v="74.7"/>
    <n v="98.9"/>
    <n v="12"/>
    <n v="13"/>
    <x v="0"/>
    <m/>
    <x v="0"/>
  </r>
  <r>
    <n v="99"/>
    <s v="Employee_099"/>
    <x v="1"/>
    <n v="25"/>
    <x v="3"/>
    <x v="5"/>
    <x v="12"/>
    <n v="49000"/>
    <d v="2019-11-27T00:00:00"/>
    <n v="6.9"/>
    <s v="6-8 Years"/>
    <s v="Naukri"/>
    <n v="60.4"/>
    <n v="92.9"/>
    <n v="10"/>
    <n v="12"/>
    <x v="1"/>
    <d v="2025-03-24T00:00:00"/>
    <x v="2"/>
  </r>
  <r>
    <n v="100"/>
    <s v="Employee_100"/>
    <x v="1"/>
    <n v="53"/>
    <x v="1"/>
    <x v="6"/>
    <x v="14"/>
    <n v="47000"/>
    <d v="2025-10-15T00:00:00"/>
    <n v="1"/>
    <s v="0-2 Years"/>
    <s v="Naukri"/>
    <n v="73.5"/>
    <n v="95.9"/>
    <n v="20"/>
    <n v="17"/>
    <x v="0"/>
    <m/>
    <x v="3"/>
  </r>
  <r>
    <n v="101"/>
    <s v="Employee_101"/>
    <x v="0"/>
    <n v="47"/>
    <x v="2"/>
    <x v="5"/>
    <x v="6"/>
    <n v="57000"/>
    <d v="2022-10-20T00:00:00"/>
    <n v="4"/>
    <s v="3-5 Years"/>
    <s v="Naukri"/>
    <n v="86.4"/>
    <n v="87.5"/>
    <n v="8"/>
    <n v="11"/>
    <x v="0"/>
    <m/>
    <x v="3"/>
  </r>
  <r>
    <n v="102"/>
    <s v="Employee_102"/>
    <x v="0"/>
    <n v="26"/>
    <x v="3"/>
    <x v="0"/>
    <x v="16"/>
    <n v="36000"/>
    <d v="2019-12-16T00:00:00"/>
    <n v="6.8"/>
    <s v="6-8 Years"/>
    <s v="Indeed"/>
    <n v="59"/>
    <n v="83.7"/>
    <n v="17"/>
    <n v="1"/>
    <x v="0"/>
    <m/>
    <x v="2"/>
  </r>
  <r>
    <n v="103"/>
    <s v="Employee_103"/>
    <x v="1"/>
    <n v="28"/>
    <x v="3"/>
    <x v="6"/>
    <x v="20"/>
    <n v="34000"/>
    <d v="2023-08-10T00:00:00"/>
    <n v="3.2"/>
    <s v="3-5 Years"/>
    <s v="Employee Referral"/>
    <n v="87.3"/>
    <n v="97.2"/>
    <n v="19"/>
    <n v="9"/>
    <x v="0"/>
    <m/>
    <x v="1"/>
  </r>
  <r>
    <n v="104"/>
    <s v="Employee_104"/>
    <x v="0"/>
    <n v="51"/>
    <x v="1"/>
    <x v="1"/>
    <x v="1"/>
    <n v="69000"/>
    <d v="2021-07-07T00:00:00"/>
    <n v="5.3"/>
    <s v="6-8 Years"/>
    <s v="LinkedIn"/>
    <n v="91.4"/>
    <n v="88.1"/>
    <n v="24"/>
    <n v="8"/>
    <x v="1"/>
    <d v="2025-09-25T00:00:00"/>
    <x v="2"/>
  </r>
  <r>
    <n v="105"/>
    <s v="Employee_105"/>
    <x v="0"/>
    <n v="38"/>
    <x v="0"/>
    <x v="4"/>
    <x v="5"/>
    <n v="48000"/>
    <d v="2019-04-29T00:00:00"/>
    <n v="7.4"/>
    <s v="6-8 Years"/>
    <s v="Indeed"/>
    <n v="68.3"/>
    <n v="87.9"/>
    <n v="4"/>
    <n v="18"/>
    <x v="0"/>
    <m/>
    <x v="4"/>
  </r>
  <r>
    <n v="106"/>
    <s v="Employee_106"/>
    <x v="0"/>
    <n v="26"/>
    <x v="3"/>
    <x v="1"/>
    <x v="1"/>
    <n v="72000"/>
    <d v="2024-12-12T00:00:00"/>
    <n v="1.8"/>
    <s v="0-2 Years"/>
    <s v="Indeed"/>
    <n v="64.3"/>
    <n v="89.3"/>
    <n v="11"/>
    <n v="9"/>
    <x v="0"/>
    <m/>
    <x v="1"/>
  </r>
  <r>
    <n v="107"/>
    <s v="Employee_107"/>
    <x v="0"/>
    <n v="24"/>
    <x v="3"/>
    <x v="2"/>
    <x v="10"/>
    <n v="42000"/>
    <d v="2020-09-29T00:00:00"/>
    <n v="6"/>
    <s v="6-8 Years"/>
    <s v="Company Website"/>
    <n v="84"/>
    <n v="86.8"/>
    <n v="19"/>
    <n v="14"/>
    <x v="0"/>
    <m/>
    <x v="4"/>
  </r>
  <r>
    <n v="108"/>
    <s v="Employee_108"/>
    <x v="0"/>
    <n v="43"/>
    <x v="2"/>
    <x v="3"/>
    <x v="3"/>
    <n v="56000"/>
    <d v="2023-10-27T00:00:00"/>
    <n v="2.9"/>
    <s v="3-5 Years"/>
    <s v="Campus Recruitment"/>
    <n v="59.8"/>
    <n v="93.9"/>
    <n v="21"/>
    <n v="9"/>
    <x v="1"/>
    <d v="2025-05-26T00:00:00"/>
    <x v="0"/>
  </r>
  <r>
    <n v="109"/>
    <s v="Employee_109"/>
    <x v="0"/>
    <n v="21"/>
    <x v="3"/>
    <x v="4"/>
    <x v="5"/>
    <n v="39000"/>
    <d v="2021-04-17T00:00:00"/>
    <n v="5.5"/>
    <s v="6-8 Years"/>
    <s v="LinkedIn"/>
    <n v="60.9"/>
    <n v="86.5"/>
    <n v="0"/>
    <n v="15"/>
    <x v="0"/>
    <m/>
    <x v="4"/>
  </r>
  <r>
    <n v="110"/>
    <s v="Employee_110"/>
    <x v="1"/>
    <n v="55"/>
    <x v="1"/>
    <x v="4"/>
    <x v="11"/>
    <n v="48000"/>
    <d v="2021-07-31T00:00:00"/>
    <n v="5.2"/>
    <s v="6-8 Years"/>
    <s v="LinkedIn"/>
    <n v="76.5"/>
    <n v="96.6"/>
    <n v="12"/>
    <n v="1"/>
    <x v="0"/>
    <m/>
    <x v="4"/>
  </r>
  <r>
    <n v="111"/>
    <s v="Employee_111"/>
    <x v="0"/>
    <n v="41"/>
    <x v="2"/>
    <x v="1"/>
    <x v="13"/>
    <n v="43000"/>
    <d v="2025-06-16T00:00:00"/>
    <n v="1.3"/>
    <s v="0-2 Years"/>
    <s v="LinkedIn"/>
    <n v="82.5"/>
    <n v="87.1"/>
    <n v="10"/>
    <n v="5"/>
    <x v="0"/>
    <m/>
    <x v="2"/>
  </r>
  <r>
    <n v="112"/>
    <s v="Employee_112"/>
    <x v="1"/>
    <n v="26"/>
    <x v="3"/>
    <x v="5"/>
    <x v="12"/>
    <n v="57000"/>
    <d v="2023-11-24T00:00:00"/>
    <n v="2.9"/>
    <s v="3-5 Years"/>
    <s v="Campus Recruitment"/>
    <n v="91.3"/>
    <n v="86.3"/>
    <n v="2"/>
    <n v="12"/>
    <x v="1"/>
    <d v="2025-08-22T00:00:00"/>
    <x v="1"/>
  </r>
  <r>
    <n v="113"/>
    <s v="Employee_113"/>
    <x v="0"/>
    <n v="42"/>
    <x v="2"/>
    <x v="0"/>
    <x v="16"/>
    <n v="58000"/>
    <d v="2020-11-19T00:00:00"/>
    <n v="5.9"/>
    <s v="6-8 Years"/>
    <s v="Employee Referral"/>
    <n v="77.8"/>
    <n v="85.4"/>
    <n v="23"/>
    <n v="4"/>
    <x v="0"/>
    <m/>
    <x v="3"/>
  </r>
  <r>
    <n v="114"/>
    <s v="Employee_114"/>
    <x v="1"/>
    <n v="33"/>
    <x v="0"/>
    <x v="1"/>
    <x v="1"/>
    <n v="62000"/>
    <d v="2020-12-11T00:00:00"/>
    <n v="5.8"/>
    <s v="6-8 Years"/>
    <s v="Indeed"/>
    <n v="80.900000000000006"/>
    <n v="95.3"/>
    <n v="24"/>
    <n v="15"/>
    <x v="0"/>
    <m/>
    <x v="4"/>
  </r>
  <r>
    <n v="115"/>
    <s v="Employee_115"/>
    <x v="1"/>
    <n v="57"/>
    <x v="1"/>
    <x v="2"/>
    <x v="10"/>
    <n v="28000"/>
    <d v="2026-03-18T00:00:00"/>
    <n v="0.6"/>
    <s v="0-2 Years"/>
    <s v="Company Website"/>
    <n v="92.2"/>
    <n v="93"/>
    <n v="2"/>
    <n v="15"/>
    <x v="0"/>
    <m/>
    <x v="4"/>
  </r>
  <r>
    <n v="116"/>
    <s v="Employee_116"/>
    <x v="1"/>
    <n v="58"/>
    <x v="1"/>
    <x v="0"/>
    <x v="16"/>
    <n v="35000"/>
    <d v="2019-08-19T00:00:00"/>
    <n v="7.1"/>
    <s v="6-8 Years"/>
    <s v="Company Website"/>
    <n v="70.099999999999994"/>
    <n v="83.3"/>
    <n v="1"/>
    <n v="1"/>
    <x v="0"/>
    <m/>
    <x v="1"/>
  </r>
  <r>
    <n v="117"/>
    <s v="Employee_117"/>
    <x v="0"/>
    <n v="26"/>
    <x v="3"/>
    <x v="2"/>
    <x v="17"/>
    <n v="29000"/>
    <d v="2025-11-24T00:00:00"/>
    <n v="0.9"/>
    <s v="0-2 Years"/>
    <s v="Company Website"/>
    <n v="80"/>
    <n v="98.7"/>
    <n v="18"/>
    <n v="6"/>
    <x v="0"/>
    <m/>
    <x v="1"/>
  </r>
  <r>
    <n v="118"/>
    <s v="Employee_118"/>
    <x v="0"/>
    <n v="24"/>
    <x v="3"/>
    <x v="6"/>
    <x v="14"/>
    <n v="37000"/>
    <d v="2024-01-20T00:00:00"/>
    <n v="2.7"/>
    <s v="3-5 Years"/>
    <s v="Naukri"/>
    <n v="59.5"/>
    <n v="97.7"/>
    <n v="2"/>
    <n v="16"/>
    <x v="0"/>
    <m/>
    <x v="3"/>
  </r>
  <r>
    <n v="119"/>
    <s v="Employee_119"/>
    <x v="1"/>
    <n v="49"/>
    <x v="2"/>
    <x v="1"/>
    <x v="1"/>
    <n v="47000"/>
    <d v="2024-11-16T00:00:00"/>
    <n v="1.9"/>
    <s v="0-2 Years"/>
    <s v="Employee Referral"/>
    <n v="71"/>
    <n v="87"/>
    <n v="21"/>
    <n v="1"/>
    <x v="0"/>
    <m/>
    <x v="1"/>
  </r>
  <r>
    <n v="120"/>
    <s v="Employee_120"/>
    <x v="0"/>
    <n v="56"/>
    <x v="1"/>
    <x v="1"/>
    <x v="18"/>
    <n v="53000"/>
    <d v="2026-08-10T00:00:00"/>
    <n v="0.2"/>
    <s v="0-2 Years"/>
    <s v="Indeed"/>
    <n v="71.599999999999994"/>
    <n v="86.4"/>
    <n v="10"/>
    <n v="2"/>
    <x v="0"/>
    <m/>
    <x v="2"/>
  </r>
  <r>
    <n v="121"/>
    <s v="Employee_121"/>
    <x v="1"/>
    <n v="40"/>
    <x v="0"/>
    <x v="0"/>
    <x v="0"/>
    <n v="42000"/>
    <d v="2026-05-11T00:00:00"/>
    <n v="0.4"/>
    <s v="0-2 Years"/>
    <s v="Campus Recruitment"/>
    <n v="80.599999999999994"/>
    <n v="98.4"/>
    <n v="12"/>
    <n v="10"/>
    <x v="0"/>
    <m/>
    <x v="3"/>
  </r>
  <r>
    <n v="122"/>
    <s v="Employee_122"/>
    <x v="0"/>
    <n v="48"/>
    <x v="2"/>
    <x v="0"/>
    <x v="8"/>
    <n v="36000"/>
    <d v="2024-09-13T00:00:00"/>
    <n v="2.1"/>
    <s v="3-5 Years"/>
    <s v="Indeed"/>
    <n v="70.599999999999994"/>
    <n v="88.3"/>
    <n v="10"/>
    <n v="15"/>
    <x v="0"/>
    <m/>
    <x v="3"/>
  </r>
  <r>
    <n v="123"/>
    <s v="Employee_123"/>
    <x v="0"/>
    <n v="25"/>
    <x v="3"/>
    <x v="4"/>
    <x v="11"/>
    <n v="44000"/>
    <d v="2022-04-26T00:00:00"/>
    <n v="4.4000000000000004"/>
    <s v="3-5 Years"/>
    <s v="Naukri"/>
    <n v="88.1"/>
    <n v="96.6"/>
    <n v="10"/>
    <n v="4"/>
    <x v="1"/>
    <d v="2026-08-29T00:00:00"/>
    <x v="2"/>
  </r>
  <r>
    <n v="124"/>
    <s v="Employee_124"/>
    <x v="0"/>
    <n v="32"/>
    <x v="0"/>
    <x v="5"/>
    <x v="21"/>
    <n v="47000"/>
    <d v="2026-01-02T00:00:00"/>
    <n v="0.8"/>
    <s v="0-2 Years"/>
    <s v="LinkedIn"/>
    <n v="89.8"/>
    <n v="84.9"/>
    <n v="13"/>
    <n v="11"/>
    <x v="0"/>
    <m/>
    <x v="3"/>
  </r>
  <r>
    <n v="125"/>
    <s v="Employee_125"/>
    <x v="1"/>
    <n v="49"/>
    <x v="2"/>
    <x v="5"/>
    <x v="12"/>
    <n v="42000"/>
    <d v="2021-08-16T00:00:00"/>
    <n v="5.0999999999999996"/>
    <s v="6-8 Years"/>
    <s v="Employee Referral"/>
    <n v="89.8"/>
    <n v="90.2"/>
    <n v="21"/>
    <n v="18"/>
    <x v="0"/>
    <m/>
    <x v="4"/>
  </r>
  <r>
    <n v="126"/>
    <s v="Employee_126"/>
    <x v="1"/>
    <n v="53"/>
    <x v="1"/>
    <x v="5"/>
    <x v="6"/>
    <n v="49000"/>
    <d v="2024-11-30T00:00:00"/>
    <n v="1.9"/>
    <s v="0-2 Years"/>
    <s v="Campus Recruitment"/>
    <n v="73"/>
    <n v="84.8"/>
    <n v="4"/>
    <n v="8"/>
    <x v="0"/>
    <m/>
    <x v="0"/>
  </r>
  <r>
    <n v="127"/>
    <s v="Employee_127"/>
    <x v="1"/>
    <n v="56"/>
    <x v="1"/>
    <x v="0"/>
    <x v="16"/>
    <n v="43000"/>
    <d v="2020-02-25T00:00:00"/>
    <n v="6.6"/>
    <s v="6-8 Years"/>
    <s v="Employee Referral"/>
    <n v="60.4"/>
    <n v="83.5"/>
    <n v="14"/>
    <n v="16"/>
    <x v="0"/>
    <m/>
    <x v="3"/>
  </r>
  <r>
    <n v="128"/>
    <s v="Employee_128"/>
    <x v="0"/>
    <n v="35"/>
    <x v="0"/>
    <x v="2"/>
    <x v="17"/>
    <n v="26000"/>
    <d v="2024-01-22T00:00:00"/>
    <n v="2.7"/>
    <s v="3-5 Years"/>
    <s v="LinkedIn"/>
    <n v="93"/>
    <n v="98.3"/>
    <n v="12"/>
    <n v="16"/>
    <x v="0"/>
    <m/>
    <x v="1"/>
  </r>
  <r>
    <n v="129"/>
    <s v="Employee_129"/>
    <x v="0"/>
    <n v="44"/>
    <x v="2"/>
    <x v="4"/>
    <x v="5"/>
    <n v="63000"/>
    <d v="2021-07-08T00:00:00"/>
    <n v="5.2"/>
    <s v="6-8 Years"/>
    <s v="Indeed"/>
    <n v="91.1"/>
    <n v="93.4"/>
    <n v="1"/>
    <n v="9"/>
    <x v="0"/>
    <m/>
    <x v="4"/>
  </r>
  <r>
    <n v="130"/>
    <s v="Employee_130"/>
    <x v="1"/>
    <n v="49"/>
    <x v="2"/>
    <x v="0"/>
    <x v="0"/>
    <n v="50000"/>
    <d v="2025-11-25T00:00:00"/>
    <n v="0.9"/>
    <s v="0-2 Years"/>
    <s v="Indeed"/>
    <n v="55.2"/>
    <n v="83.4"/>
    <n v="4"/>
    <n v="17"/>
    <x v="0"/>
    <m/>
    <x v="2"/>
  </r>
  <r>
    <n v="131"/>
    <s v="Employee_131"/>
    <x v="0"/>
    <n v="39"/>
    <x v="0"/>
    <x v="6"/>
    <x v="14"/>
    <n v="42000"/>
    <d v="2021-08-31T00:00:00"/>
    <n v="5.0999999999999996"/>
    <s v="6-8 Years"/>
    <s v="LinkedIn"/>
    <n v="73.099999999999994"/>
    <n v="95.9"/>
    <n v="3"/>
    <n v="15"/>
    <x v="0"/>
    <m/>
    <x v="2"/>
  </r>
  <r>
    <n v="132"/>
    <s v="Employee_132"/>
    <x v="0"/>
    <n v="30"/>
    <x v="3"/>
    <x v="6"/>
    <x v="19"/>
    <n v="45000"/>
    <d v="2022-04-08T00:00:00"/>
    <n v="4.5"/>
    <s v="3-5 Years"/>
    <s v="Campus Recruitment"/>
    <n v="73.5"/>
    <n v="92.8"/>
    <n v="13"/>
    <n v="5"/>
    <x v="0"/>
    <m/>
    <x v="0"/>
  </r>
  <r>
    <n v="133"/>
    <s v="Employee_133"/>
    <x v="0"/>
    <n v="54"/>
    <x v="1"/>
    <x v="6"/>
    <x v="14"/>
    <n v="18000"/>
    <d v="2025-02-06T00:00:00"/>
    <n v="1.7"/>
    <s v="0-2 Years"/>
    <s v="LinkedIn"/>
    <n v="78.8"/>
    <n v="88.8"/>
    <n v="20"/>
    <n v="12"/>
    <x v="0"/>
    <m/>
    <x v="1"/>
  </r>
  <r>
    <n v="134"/>
    <s v="Employee_134"/>
    <x v="0"/>
    <n v="43"/>
    <x v="2"/>
    <x v="3"/>
    <x v="7"/>
    <n v="43000"/>
    <d v="2019-10-04T00:00:00"/>
    <n v="7"/>
    <s v="6-8 Years"/>
    <s v="Campus Recruitment"/>
    <n v="69.8"/>
    <n v="94.8"/>
    <n v="23"/>
    <n v="10"/>
    <x v="0"/>
    <m/>
    <x v="3"/>
  </r>
  <r>
    <n v="135"/>
    <s v="Employee_135"/>
    <x v="1"/>
    <n v="32"/>
    <x v="0"/>
    <x v="1"/>
    <x v="18"/>
    <n v="36000"/>
    <d v="2026-09-05T00:00:00"/>
    <n v="0.1"/>
    <s v="0-2 Years"/>
    <s v="Naukri"/>
    <n v="82.2"/>
    <n v="96.2"/>
    <n v="24"/>
    <n v="14"/>
    <x v="0"/>
    <m/>
    <x v="0"/>
  </r>
  <r>
    <n v="136"/>
    <s v="Employee_136"/>
    <x v="0"/>
    <n v="33"/>
    <x v="0"/>
    <x v="3"/>
    <x v="3"/>
    <n v="48000"/>
    <d v="2019-06-21T00:00:00"/>
    <n v="7.3"/>
    <s v="6-8 Years"/>
    <s v="Campus Recruitment"/>
    <n v="68.599999999999994"/>
    <n v="87.4"/>
    <n v="15"/>
    <n v="8"/>
    <x v="0"/>
    <m/>
    <x v="0"/>
  </r>
  <r>
    <n v="137"/>
    <s v="Employee_137"/>
    <x v="0"/>
    <n v="39"/>
    <x v="0"/>
    <x v="2"/>
    <x v="10"/>
    <n v="37000"/>
    <d v="2023-01-02T00:00:00"/>
    <n v="3.8"/>
    <s v="3-5 Years"/>
    <s v="Company Website"/>
    <n v="83.2"/>
    <n v="86.8"/>
    <n v="12"/>
    <n v="14"/>
    <x v="0"/>
    <m/>
    <x v="4"/>
  </r>
  <r>
    <n v="138"/>
    <s v="Employee_138"/>
    <x v="1"/>
    <n v="52"/>
    <x v="1"/>
    <x v="3"/>
    <x v="3"/>
    <n v="42000"/>
    <d v="2023-02-13T00:00:00"/>
    <n v="3.6"/>
    <s v="3-5 Years"/>
    <s v="Naukri"/>
    <n v="94.7"/>
    <n v="91.1"/>
    <n v="13"/>
    <n v="2"/>
    <x v="0"/>
    <m/>
    <x v="4"/>
  </r>
  <r>
    <n v="139"/>
    <s v="Employee_139"/>
    <x v="1"/>
    <n v="41"/>
    <x v="2"/>
    <x v="6"/>
    <x v="19"/>
    <n v="55000"/>
    <d v="2020-02-25T00:00:00"/>
    <n v="6.6"/>
    <s v="6-8 Years"/>
    <s v="Indeed"/>
    <n v="68.2"/>
    <n v="92.5"/>
    <n v="22"/>
    <n v="14"/>
    <x v="0"/>
    <m/>
    <x v="1"/>
  </r>
  <r>
    <n v="140"/>
    <s v="Employee_140"/>
    <x v="1"/>
    <n v="48"/>
    <x v="2"/>
    <x v="5"/>
    <x v="21"/>
    <n v="60000"/>
    <d v="2022-01-29T00:00:00"/>
    <n v="4.7"/>
    <s v="3-5 Years"/>
    <s v="LinkedIn"/>
    <n v="82.5"/>
    <n v="95.9"/>
    <n v="21"/>
    <n v="12"/>
    <x v="0"/>
    <m/>
    <x v="1"/>
  </r>
  <r>
    <n v="141"/>
    <s v="Employee_141"/>
    <x v="0"/>
    <n v="22"/>
    <x v="3"/>
    <x v="6"/>
    <x v="20"/>
    <n v="51000"/>
    <d v="2020-08-07T00:00:00"/>
    <n v="6.2"/>
    <s v="6-8 Years"/>
    <s v="Naukri"/>
    <n v="73.8"/>
    <n v="84.2"/>
    <n v="11"/>
    <n v="11"/>
    <x v="0"/>
    <m/>
    <x v="4"/>
  </r>
  <r>
    <n v="142"/>
    <s v="Employee_142"/>
    <x v="0"/>
    <n v="49"/>
    <x v="2"/>
    <x v="6"/>
    <x v="19"/>
    <n v="31000"/>
    <d v="2023-02-28T00:00:00"/>
    <n v="3.6"/>
    <s v="3-5 Years"/>
    <s v="Campus Recruitment"/>
    <n v="71"/>
    <n v="95.4"/>
    <n v="11"/>
    <n v="12"/>
    <x v="1"/>
    <d v="2026-05-19T00:00:00"/>
    <x v="1"/>
  </r>
  <r>
    <n v="143"/>
    <s v="Employee_143"/>
    <x v="0"/>
    <n v="28"/>
    <x v="3"/>
    <x v="0"/>
    <x v="16"/>
    <n v="44000"/>
    <d v="2019-04-17T00:00:00"/>
    <n v="7.5"/>
    <s v="6-8 Years"/>
    <s v="Employee Referral"/>
    <n v="71.599999999999994"/>
    <n v="91.8"/>
    <n v="22"/>
    <n v="14"/>
    <x v="0"/>
    <m/>
    <x v="3"/>
  </r>
  <r>
    <n v="144"/>
    <s v="Employee_144"/>
    <x v="1"/>
    <n v="33"/>
    <x v="0"/>
    <x v="6"/>
    <x v="14"/>
    <n v="31000"/>
    <d v="2020-05-17T00:00:00"/>
    <n v="6.4"/>
    <s v="6-8 Years"/>
    <s v="Naukri"/>
    <n v="60.8"/>
    <n v="83.3"/>
    <n v="14"/>
    <n v="2"/>
    <x v="0"/>
    <m/>
    <x v="1"/>
  </r>
  <r>
    <n v="145"/>
    <s v="Employee_145"/>
    <x v="0"/>
    <n v="56"/>
    <x v="1"/>
    <x v="0"/>
    <x v="16"/>
    <n v="43000"/>
    <d v="2025-01-29T00:00:00"/>
    <n v="1.7"/>
    <s v="0-2 Years"/>
    <s v="Employee Referral"/>
    <n v="61.8"/>
    <n v="94.4"/>
    <n v="16"/>
    <n v="7"/>
    <x v="0"/>
    <m/>
    <x v="0"/>
  </r>
  <r>
    <n v="146"/>
    <s v="Employee_146"/>
    <x v="0"/>
    <n v="52"/>
    <x v="1"/>
    <x v="4"/>
    <x v="11"/>
    <n v="49000"/>
    <d v="2019-04-18T00:00:00"/>
    <n v="7.5"/>
    <s v="6-8 Years"/>
    <s v="Campus Recruitment"/>
    <n v="70.5"/>
    <n v="92"/>
    <n v="4"/>
    <n v="2"/>
    <x v="0"/>
    <m/>
    <x v="0"/>
  </r>
  <r>
    <n v="147"/>
    <s v="Employee_147"/>
    <x v="1"/>
    <n v="54"/>
    <x v="1"/>
    <x v="3"/>
    <x v="15"/>
    <n v="47000"/>
    <d v="2023-08-10T00:00:00"/>
    <n v="3.2"/>
    <s v="3-5 Years"/>
    <s v="Company Website"/>
    <n v="58.2"/>
    <n v="99"/>
    <n v="14"/>
    <n v="16"/>
    <x v="0"/>
    <m/>
    <x v="1"/>
  </r>
  <r>
    <n v="148"/>
    <s v="Employee_148"/>
    <x v="0"/>
    <n v="29"/>
    <x v="3"/>
    <x v="4"/>
    <x v="4"/>
    <n v="24000"/>
    <d v="2023-11-08T00:00:00"/>
    <n v="2.9"/>
    <s v="3-5 Years"/>
    <s v="Campus Recruitment"/>
    <n v="76.599999999999994"/>
    <n v="97.2"/>
    <n v="4"/>
    <n v="9"/>
    <x v="0"/>
    <m/>
    <x v="3"/>
  </r>
  <r>
    <n v="149"/>
    <s v="Employee_149"/>
    <x v="0"/>
    <n v="43"/>
    <x v="2"/>
    <x v="4"/>
    <x v="5"/>
    <n v="56000"/>
    <d v="2024-10-26T00:00:00"/>
    <n v="1.9"/>
    <s v="0-2 Years"/>
    <s v="Indeed"/>
    <n v="65.8"/>
    <n v="93.1"/>
    <n v="20"/>
    <n v="9"/>
    <x v="1"/>
    <d v="2025-12-29T00:00:00"/>
    <x v="2"/>
  </r>
  <r>
    <n v="150"/>
    <s v="Employee_150"/>
    <x v="0"/>
    <n v="58"/>
    <x v="1"/>
    <x v="6"/>
    <x v="19"/>
    <n v="31000"/>
    <d v="2025-07-06T00:00:00"/>
    <n v="1.3"/>
    <s v="0-2 Years"/>
    <s v="Campus Recruitment"/>
    <n v="61.6"/>
    <n v="93.5"/>
    <n v="1"/>
    <n v="0"/>
    <x v="1"/>
    <d v="2025-10-26T00:00:00"/>
    <x v="0"/>
  </r>
  <r>
    <n v="151"/>
    <s v="Employee_151"/>
    <x v="0"/>
    <n v="57"/>
    <x v="1"/>
    <x v="1"/>
    <x v="18"/>
    <n v="52000"/>
    <d v="2023-09-03T00:00:00"/>
    <n v="3.1"/>
    <s v="3-5 Years"/>
    <s v="Company Website"/>
    <n v="93.2"/>
    <n v="91.5"/>
    <n v="7"/>
    <n v="12"/>
    <x v="0"/>
    <m/>
    <x v="1"/>
  </r>
  <r>
    <n v="152"/>
    <s v="Employee_152"/>
    <x v="0"/>
    <n v="31"/>
    <x v="0"/>
    <x v="5"/>
    <x v="21"/>
    <n v="50000"/>
    <d v="2023-12-06T00:00:00"/>
    <n v="2.8"/>
    <s v="3-5 Years"/>
    <s v="Campus Recruitment"/>
    <n v="72.900000000000006"/>
    <n v="90.1"/>
    <n v="4"/>
    <n v="10"/>
    <x v="0"/>
    <m/>
    <x v="1"/>
  </r>
  <r>
    <n v="153"/>
    <s v="Employee_153"/>
    <x v="1"/>
    <n v="29"/>
    <x v="3"/>
    <x v="0"/>
    <x v="16"/>
    <n v="41000"/>
    <d v="2023-02-26T00:00:00"/>
    <n v="3.6"/>
    <s v="3-5 Years"/>
    <s v="Indeed"/>
    <n v="65.400000000000006"/>
    <n v="84.1"/>
    <n v="4"/>
    <n v="3"/>
    <x v="0"/>
    <m/>
    <x v="0"/>
  </r>
  <r>
    <n v="154"/>
    <s v="Employee_154"/>
    <x v="1"/>
    <n v="36"/>
    <x v="0"/>
    <x v="3"/>
    <x v="15"/>
    <n v="44000"/>
    <d v="2020-10-16T00:00:00"/>
    <n v="6"/>
    <s v="6-8 Years"/>
    <s v="Indeed"/>
    <n v="90"/>
    <n v="98.3"/>
    <n v="24"/>
    <n v="5"/>
    <x v="0"/>
    <m/>
    <x v="4"/>
  </r>
  <r>
    <n v="155"/>
    <s v="Employee_155"/>
    <x v="1"/>
    <n v="40"/>
    <x v="0"/>
    <x v="6"/>
    <x v="14"/>
    <n v="65000"/>
    <d v="2024-07-30T00:00:00"/>
    <n v="2.2000000000000002"/>
    <s v="3-5 Years"/>
    <s v="Campus Recruitment"/>
    <n v="76.7"/>
    <n v="98.9"/>
    <n v="11"/>
    <n v="1"/>
    <x v="0"/>
    <m/>
    <x v="0"/>
  </r>
  <r>
    <n v="156"/>
    <s v="Employee_156"/>
    <x v="1"/>
    <n v="39"/>
    <x v="0"/>
    <x v="3"/>
    <x v="15"/>
    <n v="48000"/>
    <d v="2025-01-07T00:00:00"/>
    <n v="1.7"/>
    <s v="0-2 Years"/>
    <s v="Employee Referral"/>
    <n v="55.4"/>
    <n v="83.9"/>
    <n v="23"/>
    <n v="11"/>
    <x v="0"/>
    <m/>
    <x v="4"/>
  </r>
  <r>
    <n v="157"/>
    <s v="Employee_157"/>
    <x v="1"/>
    <n v="24"/>
    <x v="3"/>
    <x v="3"/>
    <x v="3"/>
    <n v="36000"/>
    <d v="2025-05-24T00:00:00"/>
    <n v="1.4"/>
    <s v="0-2 Years"/>
    <s v="Campus Recruitment"/>
    <n v="67.400000000000006"/>
    <n v="88.8"/>
    <n v="8"/>
    <n v="3"/>
    <x v="0"/>
    <m/>
    <x v="3"/>
  </r>
  <r>
    <n v="158"/>
    <s v="Employee_158"/>
    <x v="1"/>
    <n v="42"/>
    <x v="2"/>
    <x v="1"/>
    <x v="13"/>
    <n v="50000"/>
    <d v="2025-04-03T00:00:00"/>
    <n v="1.5"/>
    <s v="0-2 Years"/>
    <s v="Campus Recruitment"/>
    <n v="95.4"/>
    <n v="95.2"/>
    <n v="16"/>
    <n v="12"/>
    <x v="0"/>
    <m/>
    <x v="2"/>
  </r>
  <r>
    <n v="159"/>
    <s v="Employee_159"/>
    <x v="0"/>
    <n v="29"/>
    <x v="3"/>
    <x v="1"/>
    <x v="9"/>
    <n v="59000"/>
    <d v="2022-09-26T00:00:00"/>
    <n v="4"/>
    <s v="3-5 Years"/>
    <s v="Employee Referral"/>
    <n v="61.4"/>
    <n v="97.6"/>
    <n v="19"/>
    <n v="10"/>
    <x v="0"/>
    <m/>
    <x v="3"/>
  </r>
  <r>
    <n v="160"/>
    <s v="Employee_160"/>
    <x v="1"/>
    <n v="58"/>
    <x v="1"/>
    <x v="5"/>
    <x v="12"/>
    <n v="38000"/>
    <d v="2022-10-09T00:00:00"/>
    <n v="4"/>
    <s v="3-5 Years"/>
    <s v="Naukri"/>
    <n v="76.8"/>
    <n v="90.9"/>
    <n v="18"/>
    <n v="9"/>
    <x v="0"/>
    <m/>
    <x v="4"/>
  </r>
  <r>
    <n v="161"/>
    <s v="Employee_161"/>
    <x v="1"/>
    <n v="42"/>
    <x v="2"/>
    <x v="2"/>
    <x v="2"/>
    <n v="42000"/>
    <d v="2026-07-22T00:00:00"/>
    <n v="0.2"/>
    <s v="0-2 Years"/>
    <s v="Campus Recruitment"/>
    <n v="68.2"/>
    <n v="97.7"/>
    <n v="15"/>
    <n v="8"/>
    <x v="0"/>
    <m/>
    <x v="2"/>
  </r>
  <r>
    <n v="162"/>
    <s v="Employee_162"/>
    <x v="0"/>
    <n v="58"/>
    <x v="1"/>
    <x v="6"/>
    <x v="19"/>
    <n v="49000"/>
    <d v="2024-05-21T00:00:00"/>
    <n v="2.4"/>
    <s v="3-5 Years"/>
    <s v="Indeed"/>
    <n v="62.3"/>
    <n v="93"/>
    <n v="21"/>
    <n v="7"/>
    <x v="1"/>
    <d v="2025-09-12T00:00:00"/>
    <x v="0"/>
  </r>
  <r>
    <n v="163"/>
    <s v="Employee_163"/>
    <x v="0"/>
    <n v="33"/>
    <x v="0"/>
    <x v="6"/>
    <x v="20"/>
    <n v="33000"/>
    <d v="2019-03-19T00:00:00"/>
    <n v="7.6"/>
    <s v="6-8 Years"/>
    <s v="Company Website"/>
    <n v="72.8"/>
    <n v="85.6"/>
    <n v="23"/>
    <n v="1"/>
    <x v="1"/>
    <d v="2025-01-18T00:00:00"/>
    <x v="3"/>
  </r>
  <r>
    <n v="164"/>
    <s v="Employee_164"/>
    <x v="1"/>
    <n v="51"/>
    <x v="1"/>
    <x v="6"/>
    <x v="19"/>
    <n v="46000"/>
    <d v="2024-11-22T00:00:00"/>
    <n v="1.9"/>
    <s v="0-2 Years"/>
    <s v="Campus Recruitment"/>
    <n v="71.2"/>
    <n v="98.7"/>
    <n v="10"/>
    <n v="17"/>
    <x v="0"/>
    <m/>
    <x v="1"/>
  </r>
  <r>
    <n v="165"/>
    <s v="Employee_165"/>
    <x v="1"/>
    <n v="51"/>
    <x v="1"/>
    <x v="0"/>
    <x v="8"/>
    <n v="53000"/>
    <d v="2021-02-26T00:00:00"/>
    <n v="5.6"/>
    <s v="6-8 Years"/>
    <s v="Employee Referral"/>
    <n v="67.8"/>
    <n v="98.5"/>
    <n v="22"/>
    <n v="6"/>
    <x v="0"/>
    <m/>
    <x v="4"/>
  </r>
  <r>
    <n v="166"/>
    <s v="Employee_166"/>
    <x v="1"/>
    <n v="56"/>
    <x v="1"/>
    <x v="3"/>
    <x v="15"/>
    <n v="42000"/>
    <d v="2022-01-25T00:00:00"/>
    <n v="4.7"/>
    <s v="3-5 Years"/>
    <s v="Company Website"/>
    <n v="67.400000000000006"/>
    <n v="92"/>
    <n v="11"/>
    <n v="4"/>
    <x v="1"/>
    <d v="2025-09-13T00:00:00"/>
    <x v="1"/>
  </r>
  <r>
    <n v="167"/>
    <s v="Employee_167"/>
    <x v="0"/>
    <n v="43"/>
    <x v="2"/>
    <x v="1"/>
    <x v="18"/>
    <n v="43000"/>
    <d v="2023-12-17T00:00:00"/>
    <n v="2.8"/>
    <s v="3-5 Years"/>
    <s v="Campus Recruitment"/>
    <n v="64.2"/>
    <n v="96.5"/>
    <n v="22"/>
    <n v="8"/>
    <x v="0"/>
    <m/>
    <x v="3"/>
  </r>
  <r>
    <n v="168"/>
    <s v="Employee_168"/>
    <x v="0"/>
    <n v="24"/>
    <x v="3"/>
    <x v="1"/>
    <x v="1"/>
    <n v="38000"/>
    <d v="2026-07-06T00:00:00"/>
    <n v="0.3"/>
    <s v="0-2 Years"/>
    <s v="LinkedIn"/>
    <n v="93.9"/>
    <n v="85.9"/>
    <n v="3"/>
    <n v="13"/>
    <x v="0"/>
    <m/>
    <x v="1"/>
  </r>
  <r>
    <n v="169"/>
    <s v="Employee_169"/>
    <x v="0"/>
    <n v="29"/>
    <x v="3"/>
    <x v="0"/>
    <x v="16"/>
    <n v="73000"/>
    <d v="2019-01-22T00:00:00"/>
    <n v="7.7"/>
    <s v="6-8 Years"/>
    <s v="Company Website"/>
    <n v="61.8"/>
    <n v="93.4"/>
    <n v="20"/>
    <n v="6"/>
    <x v="0"/>
    <m/>
    <x v="1"/>
  </r>
  <r>
    <n v="170"/>
    <s v="Employee_170"/>
    <x v="0"/>
    <n v="26"/>
    <x v="3"/>
    <x v="3"/>
    <x v="15"/>
    <n v="38000"/>
    <d v="2026-04-25T00:00:00"/>
    <n v="0.5"/>
    <s v="0-2 Years"/>
    <s v="Indeed"/>
    <n v="79.7"/>
    <n v="91.4"/>
    <n v="13"/>
    <n v="5"/>
    <x v="0"/>
    <m/>
    <x v="0"/>
  </r>
  <r>
    <n v="171"/>
    <s v="Employee_171"/>
    <x v="1"/>
    <n v="32"/>
    <x v="0"/>
    <x v="2"/>
    <x v="17"/>
    <n v="36000"/>
    <d v="2022-03-31T00:00:00"/>
    <n v="4.5"/>
    <s v="3-5 Years"/>
    <s v="Employee Referral"/>
    <n v="79.400000000000006"/>
    <n v="83.9"/>
    <n v="14"/>
    <n v="17"/>
    <x v="0"/>
    <m/>
    <x v="2"/>
  </r>
  <r>
    <n v="172"/>
    <s v="Employee_172"/>
    <x v="1"/>
    <n v="38"/>
    <x v="0"/>
    <x v="5"/>
    <x v="21"/>
    <n v="50000"/>
    <d v="2021-02-28T00:00:00"/>
    <n v="5.6"/>
    <s v="6-8 Years"/>
    <s v="Naukri"/>
    <n v="89.8"/>
    <n v="87.8"/>
    <n v="8"/>
    <n v="5"/>
    <x v="0"/>
    <m/>
    <x v="0"/>
  </r>
  <r>
    <n v="173"/>
    <s v="Employee_173"/>
    <x v="1"/>
    <n v="57"/>
    <x v="1"/>
    <x v="0"/>
    <x v="16"/>
    <n v="46000"/>
    <d v="2026-07-25T00:00:00"/>
    <n v="0.2"/>
    <s v="0-2 Years"/>
    <s v="Campus Recruitment"/>
    <n v="91.8"/>
    <n v="97.7"/>
    <n v="10"/>
    <n v="2"/>
    <x v="0"/>
    <m/>
    <x v="4"/>
  </r>
  <r>
    <n v="174"/>
    <s v="Employee_174"/>
    <x v="0"/>
    <n v="29"/>
    <x v="3"/>
    <x v="0"/>
    <x v="0"/>
    <n v="39000"/>
    <d v="2024-05-09T00:00:00"/>
    <n v="2.4"/>
    <s v="3-5 Years"/>
    <s v="Company Website"/>
    <n v="68.900000000000006"/>
    <n v="86.3"/>
    <n v="7"/>
    <n v="14"/>
    <x v="0"/>
    <m/>
    <x v="1"/>
  </r>
  <r>
    <n v="175"/>
    <s v="Employee_175"/>
    <x v="0"/>
    <n v="37"/>
    <x v="0"/>
    <x v="3"/>
    <x v="15"/>
    <n v="40000"/>
    <d v="2026-05-01T00:00:00"/>
    <n v="0.4"/>
    <s v="0-2 Years"/>
    <s v="Company Website"/>
    <n v="83.7"/>
    <n v="90.1"/>
    <n v="21"/>
    <n v="16"/>
    <x v="0"/>
    <m/>
    <x v="1"/>
  </r>
  <r>
    <n v="176"/>
    <s v="Employee_176"/>
    <x v="1"/>
    <n v="44"/>
    <x v="2"/>
    <x v="0"/>
    <x v="0"/>
    <n v="51000"/>
    <d v="2025-11-22T00:00:00"/>
    <n v="0.9"/>
    <s v="0-2 Years"/>
    <s v="Indeed"/>
    <n v="64.5"/>
    <n v="98.8"/>
    <n v="14"/>
    <n v="11"/>
    <x v="0"/>
    <m/>
    <x v="4"/>
  </r>
  <r>
    <n v="177"/>
    <s v="Employee_177"/>
    <x v="1"/>
    <n v="55"/>
    <x v="1"/>
    <x v="0"/>
    <x v="8"/>
    <n v="53000"/>
    <d v="2026-06-13T00:00:00"/>
    <n v="0.3"/>
    <s v="0-2 Years"/>
    <s v="Campus Recruitment"/>
    <n v="84.3"/>
    <n v="92.4"/>
    <n v="14"/>
    <n v="16"/>
    <x v="0"/>
    <m/>
    <x v="1"/>
  </r>
  <r>
    <n v="178"/>
    <s v="Employee_178"/>
    <x v="0"/>
    <n v="56"/>
    <x v="1"/>
    <x v="1"/>
    <x v="9"/>
    <n v="36000"/>
    <d v="2024-09-01T00:00:00"/>
    <n v="2.1"/>
    <s v="3-5 Years"/>
    <s v="Employee Referral"/>
    <n v="63.7"/>
    <n v="91.4"/>
    <n v="16"/>
    <n v="14"/>
    <x v="0"/>
    <m/>
    <x v="0"/>
  </r>
  <r>
    <n v="179"/>
    <s v="Employee_179"/>
    <x v="1"/>
    <n v="26"/>
    <x v="3"/>
    <x v="0"/>
    <x v="0"/>
    <n v="42000"/>
    <d v="2024-09-21T00:00:00"/>
    <n v="2"/>
    <s v="0-2 Years"/>
    <s v="Campus Recruitment"/>
    <n v="60.7"/>
    <n v="89.3"/>
    <n v="14"/>
    <n v="9"/>
    <x v="1"/>
    <d v="2026-08-08T00:00:00"/>
    <x v="0"/>
  </r>
  <r>
    <n v="180"/>
    <s v="Employee_180"/>
    <x v="0"/>
    <n v="34"/>
    <x v="0"/>
    <x v="5"/>
    <x v="6"/>
    <n v="53000"/>
    <d v="2025-06-26T00:00:00"/>
    <n v="1.3"/>
    <s v="0-2 Years"/>
    <s v="Campus Recruitment"/>
    <n v="58.1"/>
    <n v="89.4"/>
    <n v="1"/>
    <n v="2"/>
    <x v="0"/>
    <m/>
    <x v="4"/>
  </r>
  <r>
    <n v="181"/>
    <s v="Employee_181"/>
    <x v="1"/>
    <n v="32"/>
    <x v="0"/>
    <x v="1"/>
    <x v="18"/>
    <n v="58000"/>
    <d v="2020-07-08T00:00:00"/>
    <n v="6.2"/>
    <s v="6-8 Years"/>
    <s v="Company Website"/>
    <n v="82.8"/>
    <n v="89.4"/>
    <n v="12"/>
    <n v="12"/>
    <x v="0"/>
    <m/>
    <x v="0"/>
  </r>
  <r>
    <n v="182"/>
    <s v="Employee_182"/>
    <x v="0"/>
    <n v="43"/>
    <x v="2"/>
    <x v="0"/>
    <x v="8"/>
    <n v="18000"/>
    <d v="2020-04-30T00:00:00"/>
    <n v="6.4"/>
    <s v="6-8 Years"/>
    <s v="Naukri"/>
    <n v="62.7"/>
    <n v="91.4"/>
    <n v="7"/>
    <n v="0"/>
    <x v="1"/>
    <d v="2026-05-29T00:00:00"/>
    <x v="0"/>
  </r>
  <r>
    <n v="183"/>
    <s v="Employee_183"/>
    <x v="1"/>
    <n v="55"/>
    <x v="1"/>
    <x v="3"/>
    <x v="15"/>
    <n v="48000"/>
    <d v="2023-04-03T00:00:00"/>
    <n v="3.5"/>
    <s v="3-5 Years"/>
    <s v="LinkedIn"/>
    <n v="69.900000000000006"/>
    <n v="86.8"/>
    <n v="21"/>
    <n v="13"/>
    <x v="0"/>
    <m/>
    <x v="2"/>
  </r>
  <r>
    <n v="184"/>
    <s v="Employee_184"/>
    <x v="0"/>
    <n v="34"/>
    <x v="0"/>
    <x v="2"/>
    <x v="2"/>
    <n v="30000"/>
    <d v="2019-10-03T00:00:00"/>
    <n v="7"/>
    <s v="6-8 Years"/>
    <s v="Naukri"/>
    <n v="59.3"/>
    <n v="82.6"/>
    <n v="1"/>
    <n v="7"/>
    <x v="1"/>
    <d v="2024-11-17T00:00:00"/>
    <x v="0"/>
  </r>
  <r>
    <n v="185"/>
    <s v="Employee_185"/>
    <x v="0"/>
    <n v="55"/>
    <x v="1"/>
    <x v="5"/>
    <x v="6"/>
    <n v="52000"/>
    <d v="2021-06-08T00:00:00"/>
    <n v="5.3"/>
    <s v="6-8 Years"/>
    <s v="Naukri"/>
    <n v="61"/>
    <n v="99.4"/>
    <n v="18"/>
    <n v="10"/>
    <x v="0"/>
    <m/>
    <x v="2"/>
  </r>
  <r>
    <n v="186"/>
    <s v="Employee_186"/>
    <x v="1"/>
    <n v="36"/>
    <x v="0"/>
    <x v="6"/>
    <x v="20"/>
    <n v="26000"/>
    <d v="2022-05-21T00:00:00"/>
    <n v="4.4000000000000004"/>
    <s v="3-5 Years"/>
    <s v="Company Website"/>
    <n v="92.7"/>
    <n v="99.2"/>
    <n v="9"/>
    <n v="8"/>
    <x v="1"/>
    <d v="2026-02-22T00:00:00"/>
    <x v="0"/>
  </r>
  <r>
    <n v="187"/>
    <s v="Employee_187"/>
    <x v="0"/>
    <n v="48"/>
    <x v="2"/>
    <x v="6"/>
    <x v="20"/>
    <n v="18000"/>
    <d v="2025-03-26T00:00:00"/>
    <n v="1.5"/>
    <s v="0-2 Years"/>
    <s v="Naukri"/>
    <n v="95.5"/>
    <n v="93.7"/>
    <n v="13"/>
    <n v="13"/>
    <x v="1"/>
    <d v="2025-11-14T00:00:00"/>
    <x v="3"/>
  </r>
  <r>
    <n v="188"/>
    <s v="Employee_188"/>
    <x v="0"/>
    <n v="55"/>
    <x v="1"/>
    <x v="3"/>
    <x v="15"/>
    <n v="45000"/>
    <d v="2024-04-23T00:00:00"/>
    <n v="2.5"/>
    <s v="3-5 Years"/>
    <s v="Company Website"/>
    <n v="65.400000000000006"/>
    <n v="85.9"/>
    <n v="1"/>
    <n v="17"/>
    <x v="0"/>
    <m/>
    <x v="4"/>
  </r>
  <r>
    <n v="189"/>
    <s v="Employee_189"/>
    <x v="0"/>
    <n v="45"/>
    <x v="2"/>
    <x v="5"/>
    <x v="12"/>
    <n v="51000"/>
    <d v="2021-09-21T00:00:00"/>
    <n v="5"/>
    <s v="3-5 Years"/>
    <s v="LinkedIn"/>
    <n v="58.4"/>
    <n v="89.9"/>
    <n v="17"/>
    <n v="6"/>
    <x v="0"/>
    <m/>
    <x v="0"/>
  </r>
  <r>
    <n v="190"/>
    <s v="Employee_190"/>
    <x v="0"/>
    <n v="25"/>
    <x v="3"/>
    <x v="3"/>
    <x v="15"/>
    <n v="53000"/>
    <d v="2021-02-09T00:00:00"/>
    <n v="5.7"/>
    <s v="6-8 Years"/>
    <s v="Company Website"/>
    <n v="89.6"/>
    <n v="92.3"/>
    <n v="6"/>
    <n v="10"/>
    <x v="1"/>
    <d v="2026-02-26T00:00:00"/>
    <x v="1"/>
  </r>
  <r>
    <n v="191"/>
    <s v="Employee_191"/>
    <x v="0"/>
    <n v="28"/>
    <x v="3"/>
    <x v="1"/>
    <x v="1"/>
    <n v="71000"/>
    <d v="2024-05-15T00:00:00"/>
    <n v="2.4"/>
    <s v="3-5 Years"/>
    <s v="Campus Recruitment"/>
    <n v="85.3"/>
    <n v="88.9"/>
    <n v="10"/>
    <n v="9"/>
    <x v="0"/>
    <m/>
    <x v="4"/>
  </r>
  <r>
    <n v="192"/>
    <s v="Employee_192"/>
    <x v="1"/>
    <n v="40"/>
    <x v="0"/>
    <x v="5"/>
    <x v="12"/>
    <n v="42000"/>
    <d v="2021-12-07T00:00:00"/>
    <n v="4.8"/>
    <s v="3-5 Years"/>
    <s v="LinkedIn"/>
    <n v="70.5"/>
    <n v="97.4"/>
    <n v="23"/>
    <n v="15"/>
    <x v="0"/>
    <m/>
    <x v="1"/>
  </r>
  <r>
    <n v="193"/>
    <s v="Employee_193"/>
    <x v="1"/>
    <n v="47"/>
    <x v="2"/>
    <x v="4"/>
    <x v="5"/>
    <n v="35000"/>
    <d v="2019-07-07T00:00:00"/>
    <n v="7.3"/>
    <s v="6-8 Years"/>
    <s v="Naukri"/>
    <n v="61.3"/>
    <n v="86.6"/>
    <n v="13"/>
    <n v="9"/>
    <x v="1"/>
    <d v="2025-02-20T00:00:00"/>
    <x v="3"/>
  </r>
  <r>
    <n v="194"/>
    <s v="Employee_194"/>
    <x v="0"/>
    <n v="45"/>
    <x v="2"/>
    <x v="4"/>
    <x v="5"/>
    <n v="39000"/>
    <d v="2025-05-22T00:00:00"/>
    <n v="1.4"/>
    <s v="0-2 Years"/>
    <s v="Employee Referral"/>
    <n v="90.8"/>
    <n v="90.7"/>
    <n v="24"/>
    <n v="15"/>
    <x v="0"/>
    <m/>
    <x v="4"/>
  </r>
  <r>
    <n v="195"/>
    <s v="Employee_195"/>
    <x v="1"/>
    <n v="31"/>
    <x v="0"/>
    <x v="5"/>
    <x v="21"/>
    <n v="49000"/>
    <d v="2020-07-27T00:00:00"/>
    <n v="6.2"/>
    <s v="6-8 Years"/>
    <s v="Campus Recruitment"/>
    <n v="94.4"/>
    <n v="91.5"/>
    <n v="1"/>
    <n v="2"/>
    <x v="0"/>
    <m/>
    <x v="0"/>
  </r>
  <r>
    <n v="196"/>
    <s v="Employee_196"/>
    <x v="1"/>
    <n v="29"/>
    <x v="3"/>
    <x v="2"/>
    <x v="2"/>
    <n v="26000"/>
    <d v="2026-01-27T00:00:00"/>
    <n v="0.7"/>
    <s v="0-2 Years"/>
    <s v="Indeed"/>
    <n v="65"/>
    <n v="94.4"/>
    <n v="16"/>
    <n v="14"/>
    <x v="0"/>
    <m/>
    <x v="1"/>
  </r>
  <r>
    <n v="197"/>
    <s v="Employee_197"/>
    <x v="1"/>
    <n v="22"/>
    <x v="3"/>
    <x v="1"/>
    <x v="13"/>
    <n v="42000"/>
    <d v="2019-01-28T00:00:00"/>
    <n v="7.7"/>
    <s v="6-8 Years"/>
    <s v="LinkedIn"/>
    <n v="55.7"/>
    <n v="94.6"/>
    <n v="16"/>
    <n v="13"/>
    <x v="1"/>
    <d v="2025-12-17T00:00:00"/>
    <x v="3"/>
  </r>
  <r>
    <n v="198"/>
    <s v="Employee_198"/>
    <x v="0"/>
    <n v="36"/>
    <x v="0"/>
    <x v="1"/>
    <x v="9"/>
    <n v="52000"/>
    <d v="2021-02-25T00:00:00"/>
    <n v="5.6"/>
    <s v="6-8 Years"/>
    <s v="Employee Referral"/>
    <n v="81.7"/>
    <n v="86.4"/>
    <n v="12"/>
    <n v="2"/>
    <x v="0"/>
    <m/>
    <x v="1"/>
  </r>
  <r>
    <n v="199"/>
    <s v="Employee_199"/>
    <x v="0"/>
    <n v="35"/>
    <x v="0"/>
    <x v="5"/>
    <x v="6"/>
    <n v="43000"/>
    <d v="2022-05-13T00:00:00"/>
    <n v="4.4000000000000004"/>
    <s v="3-5 Years"/>
    <s v="LinkedIn"/>
    <n v="83.1"/>
    <n v="97"/>
    <n v="12"/>
    <n v="12"/>
    <x v="0"/>
    <m/>
    <x v="4"/>
  </r>
  <r>
    <n v="200"/>
    <s v="Employee_200"/>
    <x v="0"/>
    <n v="21"/>
    <x v="3"/>
    <x v="6"/>
    <x v="14"/>
    <n v="26000"/>
    <d v="2020-12-02T00:00:00"/>
    <n v="5.8"/>
    <s v="6-8 Years"/>
    <s v="Campus Recruitment"/>
    <n v="58.6"/>
    <n v="96.8"/>
    <n v="3"/>
    <n v="16"/>
    <x v="0"/>
    <m/>
    <x v="0"/>
  </r>
  <r>
    <n v="201"/>
    <s v="Employee_201"/>
    <x v="1"/>
    <n v="38"/>
    <x v="0"/>
    <x v="4"/>
    <x v="11"/>
    <n v="54000"/>
    <d v="2019-07-10T00:00:00"/>
    <n v="7.2"/>
    <s v="6-8 Years"/>
    <s v="Indeed"/>
    <n v="67.099999999999994"/>
    <n v="91.5"/>
    <n v="10"/>
    <n v="0"/>
    <x v="0"/>
    <m/>
    <x v="3"/>
  </r>
  <r>
    <n v="202"/>
    <s v="Employee_202"/>
    <x v="1"/>
    <n v="25"/>
    <x v="3"/>
    <x v="6"/>
    <x v="19"/>
    <n v="36000"/>
    <d v="2022-05-10T00:00:00"/>
    <n v="4.4000000000000004"/>
    <s v="3-5 Years"/>
    <s v="Naukri"/>
    <n v="62"/>
    <n v="86.2"/>
    <n v="17"/>
    <n v="10"/>
    <x v="0"/>
    <m/>
    <x v="4"/>
  </r>
  <r>
    <n v="203"/>
    <s v="Employee_203"/>
    <x v="0"/>
    <n v="26"/>
    <x v="3"/>
    <x v="2"/>
    <x v="10"/>
    <n v="35000"/>
    <d v="2024-08-13T00:00:00"/>
    <n v="2.1"/>
    <s v="3-5 Years"/>
    <s v="Employee Referral"/>
    <n v="59.2"/>
    <n v="86.1"/>
    <n v="19"/>
    <n v="12"/>
    <x v="0"/>
    <m/>
    <x v="1"/>
  </r>
  <r>
    <n v="204"/>
    <s v="Employee_204"/>
    <x v="1"/>
    <n v="52"/>
    <x v="1"/>
    <x v="1"/>
    <x v="18"/>
    <n v="43000"/>
    <d v="2021-07-23T00:00:00"/>
    <n v="5.2"/>
    <s v="6-8 Years"/>
    <s v="Indeed"/>
    <n v="70.3"/>
    <n v="98.5"/>
    <n v="21"/>
    <n v="18"/>
    <x v="0"/>
    <m/>
    <x v="4"/>
  </r>
  <r>
    <n v="205"/>
    <s v="Employee_205"/>
    <x v="0"/>
    <n v="25"/>
    <x v="3"/>
    <x v="1"/>
    <x v="18"/>
    <n v="53000"/>
    <d v="2019-12-03T00:00:00"/>
    <n v="6.8"/>
    <s v="6-8 Years"/>
    <s v="Employee Referral"/>
    <n v="88.7"/>
    <n v="84.7"/>
    <n v="11"/>
    <n v="3"/>
    <x v="0"/>
    <m/>
    <x v="0"/>
  </r>
  <r>
    <n v="206"/>
    <s v="Employee_206"/>
    <x v="1"/>
    <n v="44"/>
    <x v="2"/>
    <x v="1"/>
    <x v="18"/>
    <n v="66000"/>
    <d v="2022-01-09T00:00:00"/>
    <n v="4.7"/>
    <s v="3-5 Years"/>
    <s v="Company Website"/>
    <n v="59.4"/>
    <n v="83.5"/>
    <n v="17"/>
    <n v="17"/>
    <x v="0"/>
    <m/>
    <x v="2"/>
  </r>
  <r>
    <n v="207"/>
    <s v="Employee_207"/>
    <x v="0"/>
    <n v="26"/>
    <x v="3"/>
    <x v="5"/>
    <x v="21"/>
    <n v="37000"/>
    <d v="2022-12-20T00:00:00"/>
    <n v="3.8"/>
    <s v="3-5 Years"/>
    <s v="Employee Referral"/>
    <n v="88.7"/>
    <n v="97.1"/>
    <n v="13"/>
    <n v="12"/>
    <x v="0"/>
    <m/>
    <x v="0"/>
  </r>
  <r>
    <n v="208"/>
    <s v="Employee_208"/>
    <x v="0"/>
    <n v="57"/>
    <x v="1"/>
    <x v="0"/>
    <x v="8"/>
    <n v="41000"/>
    <d v="2024-11-04T00:00:00"/>
    <n v="1.9"/>
    <s v="0-2 Years"/>
    <s v="Employee Referral"/>
    <n v="62.3"/>
    <n v="88.7"/>
    <n v="9"/>
    <n v="8"/>
    <x v="0"/>
    <m/>
    <x v="4"/>
  </r>
  <r>
    <n v="209"/>
    <s v="Employee_209"/>
    <x v="0"/>
    <n v="48"/>
    <x v="2"/>
    <x v="4"/>
    <x v="11"/>
    <n v="32000"/>
    <d v="2022-02-04T00:00:00"/>
    <n v="4.7"/>
    <s v="3-5 Years"/>
    <s v="Naukri"/>
    <n v="58.3"/>
    <n v="86.4"/>
    <n v="20"/>
    <n v="15"/>
    <x v="0"/>
    <m/>
    <x v="2"/>
  </r>
  <r>
    <n v="210"/>
    <s v="Employee_210"/>
    <x v="1"/>
    <n v="27"/>
    <x v="3"/>
    <x v="6"/>
    <x v="19"/>
    <n v="48000"/>
    <d v="2020-07-08T00:00:00"/>
    <n v="6.2"/>
    <s v="6-8 Years"/>
    <s v="Campus Recruitment"/>
    <n v="68.099999999999994"/>
    <n v="98.6"/>
    <n v="12"/>
    <n v="10"/>
    <x v="0"/>
    <m/>
    <x v="4"/>
  </r>
  <r>
    <n v="211"/>
    <s v="Employee_211"/>
    <x v="0"/>
    <n v="40"/>
    <x v="0"/>
    <x v="3"/>
    <x v="15"/>
    <n v="32000"/>
    <d v="2022-08-06T00:00:00"/>
    <n v="4.2"/>
    <s v="3-5 Years"/>
    <s v="Employee Referral"/>
    <n v="75.599999999999994"/>
    <n v="85.1"/>
    <n v="9"/>
    <n v="15"/>
    <x v="0"/>
    <m/>
    <x v="2"/>
  </r>
  <r>
    <n v="212"/>
    <s v="Employee_212"/>
    <x v="1"/>
    <n v="45"/>
    <x v="2"/>
    <x v="2"/>
    <x v="2"/>
    <n v="28000"/>
    <d v="2022-02-22T00:00:00"/>
    <n v="4.5999999999999996"/>
    <s v="3-5 Years"/>
    <s v="Campus Recruitment"/>
    <n v="90.1"/>
    <n v="88.9"/>
    <n v="6"/>
    <n v="18"/>
    <x v="0"/>
    <m/>
    <x v="2"/>
  </r>
  <r>
    <n v="213"/>
    <s v="Employee_213"/>
    <x v="0"/>
    <n v="50"/>
    <x v="2"/>
    <x v="4"/>
    <x v="4"/>
    <n v="34000"/>
    <d v="2021-05-08T00:00:00"/>
    <n v="5.4"/>
    <s v="6-8 Years"/>
    <s v="Naukri"/>
    <n v="84.8"/>
    <n v="96.3"/>
    <n v="15"/>
    <n v="4"/>
    <x v="0"/>
    <m/>
    <x v="1"/>
  </r>
  <r>
    <n v="214"/>
    <s v="Employee_214"/>
    <x v="0"/>
    <n v="48"/>
    <x v="2"/>
    <x v="4"/>
    <x v="5"/>
    <n v="44000"/>
    <d v="2023-03-25T00:00:00"/>
    <n v="3.5"/>
    <s v="3-5 Years"/>
    <s v="Campus Recruitment"/>
    <n v="58.2"/>
    <n v="99.3"/>
    <n v="12"/>
    <n v="17"/>
    <x v="0"/>
    <m/>
    <x v="2"/>
  </r>
  <r>
    <n v="215"/>
    <s v="Employee_215"/>
    <x v="1"/>
    <n v="55"/>
    <x v="1"/>
    <x v="2"/>
    <x v="10"/>
    <n v="37000"/>
    <d v="2019-05-31T00:00:00"/>
    <n v="7.4"/>
    <s v="6-8 Years"/>
    <s v="LinkedIn"/>
    <n v="93.5"/>
    <n v="91.4"/>
    <n v="24"/>
    <n v="7"/>
    <x v="0"/>
    <m/>
    <x v="1"/>
  </r>
  <r>
    <n v="216"/>
    <s v="Employee_216"/>
    <x v="0"/>
    <n v="57"/>
    <x v="1"/>
    <x v="4"/>
    <x v="4"/>
    <n v="33000"/>
    <d v="2026-03-27T00:00:00"/>
    <n v="0.5"/>
    <s v="0-2 Years"/>
    <s v="Company Website"/>
    <n v="84.1"/>
    <n v="89"/>
    <n v="3"/>
    <n v="0"/>
    <x v="0"/>
    <m/>
    <x v="0"/>
  </r>
  <r>
    <n v="217"/>
    <s v="Employee_217"/>
    <x v="0"/>
    <n v="49"/>
    <x v="2"/>
    <x v="3"/>
    <x v="3"/>
    <n v="31000"/>
    <d v="2023-03-13T00:00:00"/>
    <n v="3.6"/>
    <s v="3-5 Years"/>
    <s v="LinkedIn"/>
    <n v="80.3"/>
    <n v="90.8"/>
    <n v="15"/>
    <n v="3"/>
    <x v="0"/>
    <m/>
    <x v="1"/>
  </r>
  <r>
    <n v="218"/>
    <s v="Employee_218"/>
    <x v="0"/>
    <n v="30"/>
    <x v="3"/>
    <x v="5"/>
    <x v="21"/>
    <n v="64000"/>
    <d v="2022-11-27T00:00:00"/>
    <n v="3.9"/>
    <s v="3-5 Years"/>
    <s v="Campus Recruitment"/>
    <n v="68.400000000000006"/>
    <n v="90"/>
    <n v="15"/>
    <n v="11"/>
    <x v="0"/>
    <m/>
    <x v="4"/>
  </r>
  <r>
    <n v="219"/>
    <s v="Employee_219"/>
    <x v="1"/>
    <n v="41"/>
    <x v="2"/>
    <x v="1"/>
    <x v="13"/>
    <n v="48000"/>
    <d v="2019-10-03T00:00:00"/>
    <n v="7"/>
    <s v="6-8 Years"/>
    <s v="Naukri"/>
    <n v="59.9"/>
    <n v="96.9"/>
    <n v="5"/>
    <n v="7"/>
    <x v="0"/>
    <m/>
    <x v="2"/>
  </r>
  <r>
    <n v="220"/>
    <s v="Employee_220"/>
    <x v="0"/>
    <n v="42"/>
    <x v="2"/>
    <x v="4"/>
    <x v="4"/>
    <n v="58000"/>
    <d v="2025-04-12T00:00:00"/>
    <n v="1.5"/>
    <s v="0-2 Years"/>
    <s v="Naukri"/>
    <n v="73.3"/>
    <n v="90.1"/>
    <n v="5"/>
    <n v="5"/>
    <x v="0"/>
    <m/>
    <x v="4"/>
  </r>
  <r>
    <n v="221"/>
    <s v="Employee_221"/>
    <x v="0"/>
    <n v="49"/>
    <x v="2"/>
    <x v="5"/>
    <x v="21"/>
    <n v="51000"/>
    <d v="2025-08-22T00:00:00"/>
    <n v="1.1000000000000001"/>
    <s v="0-2 Years"/>
    <s v="Campus Recruitment"/>
    <n v="64.2"/>
    <n v="86.9"/>
    <n v="3"/>
    <n v="17"/>
    <x v="0"/>
    <m/>
    <x v="3"/>
  </r>
  <r>
    <n v="222"/>
    <s v="Employee_222"/>
    <x v="0"/>
    <n v="50"/>
    <x v="2"/>
    <x v="3"/>
    <x v="15"/>
    <n v="45000"/>
    <d v="2020-04-11T00:00:00"/>
    <n v="6.5"/>
    <s v="6-8 Years"/>
    <s v="Employee Referral"/>
    <n v="66.3"/>
    <n v="97.1"/>
    <n v="19"/>
    <n v="12"/>
    <x v="1"/>
    <d v="2024-12-21T00:00:00"/>
    <x v="2"/>
  </r>
  <r>
    <n v="223"/>
    <s v="Employee_223"/>
    <x v="0"/>
    <n v="43"/>
    <x v="2"/>
    <x v="5"/>
    <x v="12"/>
    <n v="60000"/>
    <d v="2022-12-12T00:00:00"/>
    <n v="3.8"/>
    <s v="3-5 Years"/>
    <s v="Campus Recruitment"/>
    <n v="90"/>
    <n v="94.4"/>
    <n v="18"/>
    <n v="2"/>
    <x v="0"/>
    <m/>
    <x v="3"/>
  </r>
  <r>
    <n v="224"/>
    <s v="Employee_224"/>
    <x v="0"/>
    <n v="40"/>
    <x v="0"/>
    <x v="3"/>
    <x v="3"/>
    <n v="33000"/>
    <d v="2020-04-24T00:00:00"/>
    <n v="6.5"/>
    <s v="6-8 Years"/>
    <s v="Company Website"/>
    <n v="62.9"/>
    <n v="94.1"/>
    <n v="19"/>
    <n v="4"/>
    <x v="1"/>
    <d v="2025-09-04T00:00:00"/>
    <x v="2"/>
  </r>
  <r>
    <n v="225"/>
    <s v="Employee_225"/>
    <x v="0"/>
    <n v="52"/>
    <x v="1"/>
    <x v="5"/>
    <x v="6"/>
    <n v="27000"/>
    <d v="2026-02-16T00:00:00"/>
    <n v="0.6"/>
    <s v="0-2 Years"/>
    <s v="Company Website"/>
    <n v="95"/>
    <n v="85"/>
    <n v="9"/>
    <n v="4"/>
    <x v="0"/>
    <m/>
    <x v="3"/>
  </r>
  <r>
    <n v="226"/>
    <s v="Employee_226"/>
    <x v="0"/>
    <n v="43"/>
    <x v="2"/>
    <x v="3"/>
    <x v="15"/>
    <n v="39000"/>
    <d v="2019-02-09T00:00:00"/>
    <n v="7.7"/>
    <s v="6-8 Years"/>
    <s v="Campus Recruitment"/>
    <n v="75.8"/>
    <n v="85.4"/>
    <n v="16"/>
    <n v="15"/>
    <x v="0"/>
    <m/>
    <x v="4"/>
  </r>
  <r>
    <n v="227"/>
    <s v="Employee_227"/>
    <x v="1"/>
    <n v="49"/>
    <x v="2"/>
    <x v="0"/>
    <x v="16"/>
    <n v="52000"/>
    <d v="2024-06-24T00:00:00"/>
    <n v="2.2999999999999998"/>
    <s v="3-5 Years"/>
    <s v="Employee Referral"/>
    <n v="89.2"/>
    <n v="85.9"/>
    <n v="7"/>
    <n v="17"/>
    <x v="0"/>
    <m/>
    <x v="1"/>
  </r>
  <r>
    <n v="228"/>
    <s v="Employee_228"/>
    <x v="1"/>
    <n v="56"/>
    <x v="1"/>
    <x v="4"/>
    <x v="5"/>
    <n v="52000"/>
    <d v="2024-09-23T00:00:00"/>
    <n v="2"/>
    <s v="0-2 Years"/>
    <s v="Campus Recruitment"/>
    <n v="59.9"/>
    <n v="84"/>
    <n v="24"/>
    <n v="1"/>
    <x v="1"/>
    <d v="2025-09-26T00:00:00"/>
    <x v="4"/>
  </r>
  <r>
    <n v="229"/>
    <s v="Employee_229"/>
    <x v="1"/>
    <n v="27"/>
    <x v="3"/>
    <x v="6"/>
    <x v="19"/>
    <n v="43000"/>
    <d v="2026-05-01T00:00:00"/>
    <n v="0.4"/>
    <s v="0-2 Years"/>
    <s v="LinkedIn"/>
    <n v="98"/>
    <n v="89.9"/>
    <n v="14"/>
    <n v="3"/>
    <x v="0"/>
    <m/>
    <x v="3"/>
  </r>
  <r>
    <n v="230"/>
    <s v="Employee_230"/>
    <x v="1"/>
    <n v="48"/>
    <x v="2"/>
    <x v="4"/>
    <x v="4"/>
    <n v="34000"/>
    <d v="2020-11-10T00:00:00"/>
    <n v="5.9"/>
    <s v="6-8 Years"/>
    <s v="LinkedIn"/>
    <n v="81.5"/>
    <n v="95.7"/>
    <n v="18"/>
    <n v="11"/>
    <x v="0"/>
    <m/>
    <x v="2"/>
  </r>
  <r>
    <n v="231"/>
    <s v="Employee_231"/>
    <x v="0"/>
    <n v="41"/>
    <x v="2"/>
    <x v="3"/>
    <x v="7"/>
    <n v="43000"/>
    <d v="2022-04-13T00:00:00"/>
    <n v="4.5"/>
    <s v="3-5 Years"/>
    <s v="Indeed"/>
    <n v="91.9"/>
    <n v="99.2"/>
    <n v="24"/>
    <n v="13"/>
    <x v="0"/>
    <m/>
    <x v="0"/>
  </r>
  <r>
    <n v="232"/>
    <s v="Employee_232"/>
    <x v="0"/>
    <n v="29"/>
    <x v="3"/>
    <x v="3"/>
    <x v="7"/>
    <n v="52000"/>
    <d v="2021-10-19T00:00:00"/>
    <n v="5"/>
    <s v="3-5 Years"/>
    <s v="Naukri"/>
    <n v="61.3"/>
    <n v="87.6"/>
    <n v="12"/>
    <n v="15"/>
    <x v="0"/>
    <m/>
    <x v="3"/>
  </r>
  <r>
    <n v="233"/>
    <s v="Employee_233"/>
    <x v="1"/>
    <n v="47"/>
    <x v="2"/>
    <x v="6"/>
    <x v="20"/>
    <n v="30000"/>
    <d v="2023-03-17T00:00:00"/>
    <n v="3.6"/>
    <s v="3-5 Years"/>
    <s v="Naukri"/>
    <n v="92.8"/>
    <n v="83.6"/>
    <n v="11"/>
    <n v="14"/>
    <x v="1"/>
    <d v="2025-12-26T00:00:00"/>
    <x v="4"/>
  </r>
  <r>
    <n v="234"/>
    <s v="Employee_234"/>
    <x v="0"/>
    <n v="26"/>
    <x v="3"/>
    <x v="3"/>
    <x v="7"/>
    <n v="49000"/>
    <d v="2024-02-21T00:00:00"/>
    <n v="2.6"/>
    <s v="3-5 Years"/>
    <s v="Campus Recruitment"/>
    <n v="82.3"/>
    <n v="94.2"/>
    <n v="12"/>
    <n v="6"/>
    <x v="0"/>
    <m/>
    <x v="4"/>
  </r>
  <r>
    <n v="235"/>
    <s v="Employee_235"/>
    <x v="1"/>
    <n v="38"/>
    <x v="0"/>
    <x v="2"/>
    <x v="2"/>
    <n v="39000"/>
    <d v="2022-08-15T00:00:00"/>
    <n v="4.0999999999999996"/>
    <s v="3-5 Years"/>
    <s v="Employee Referral"/>
    <n v="79.900000000000006"/>
    <n v="91.9"/>
    <n v="21"/>
    <n v="1"/>
    <x v="0"/>
    <m/>
    <x v="0"/>
  </r>
  <r>
    <n v="236"/>
    <s v="Employee_236"/>
    <x v="0"/>
    <n v="28"/>
    <x v="3"/>
    <x v="1"/>
    <x v="13"/>
    <n v="45000"/>
    <d v="2020-10-09T00:00:00"/>
    <n v="6"/>
    <s v="6-8 Years"/>
    <s v="Indeed"/>
    <n v="74"/>
    <n v="82"/>
    <n v="22"/>
    <n v="4"/>
    <x v="0"/>
    <m/>
    <x v="1"/>
  </r>
  <r>
    <n v="237"/>
    <s v="Employee_237"/>
    <x v="0"/>
    <n v="44"/>
    <x v="2"/>
    <x v="4"/>
    <x v="5"/>
    <n v="53000"/>
    <d v="2021-10-22T00:00:00"/>
    <n v="5"/>
    <s v="3-5 Years"/>
    <s v="Naukri"/>
    <n v="82.9"/>
    <n v="82.9"/>
    <n v="22"/>
    <n v="7"/>
    <x v="0"/>
    <m/>
    <x v="4"/>
  </r>
  <r>
    <n v="238"/>
    <s v="Employee_238"/>
    <x v="0"/>
    <n v="21"/>
    <x v="3"/>
    <x v="0"/>
    <x v="0"/>
    <n v="53000"/>
    <d v="2021-05-24T00:00:00"/>
    <n v="5.4"/>
    <s v="6-8 Years"/>
    <s v="Campus Recruitment"/>
    <n v="75.5"/>
    <n v="84.3"/>
    <n v="21"/>
    <n v="14"/>
    <x v="0"/>
    <m/>
    <x v="0"/>
  </r>
  <r>
    <n v="239"/>
    <s v="Employee_239"/>
    <x v="0"/>
    <n v="48"/>
    <x v="2"/>
    <x v="1"/>
    <x v="18"/>
    <n v="46000"/>
    <d v="2020-06-25T00:00:00"/>
    <n v="6.3"/>
    <s v="6-8 Years"/>
    <s v="Employee Referral"/>
    <n v="58.8"/>
    <n v="96.1"/>
    <n v="11"/>
    <n v="9"/>
    <x v="0"/>
    <m/>
    <x v="3"/>
  </r>
  <r>
    <n v="240"/>
    <s v="Employee_240"/>
    <x v="0"/>
    <n v="25"/>
    <x v="3"/>
    <x v="5"/>
    <x v="21"/>
    <n v="53000"/>
    <d v="2024-12-12T00:00:00"/>
    <n v="1.8"/>
    <s v="0-2 Years"/>
    <s v="Company Website"/>
    <n v="79.2"/>
    <n v="92.7"/>
    <n v="11"/>
    <n v="6"/>
    <x v="0"/>
    <m/>
    <x v="3"/>
  </r>
  <r>
    <n v="241"/>
    <s v="Employee_241"/>
    <x v="1"/>
    <n v="34"/>
    <x v="0"/>
    <x v="5"/>
    <x v="12"/>
    <n v="57000"/>
    <d v="2019-12-22T00:00:00"/>
    <n v="6.8"/>
    <s v="6-8 Years"/>
    <s v="Company Website"/>
    <n v="60.3"/>
    <n v="94.8"/>
    <n v="10"/>
    <n v="4"/>
    <x v="0"/>
    <m/>
    <x v="3"/>
  </r>
  <r>
    <n v="242"/>
    <s v="Employee_242"/>
    <x v="0"/>
    <n v="36"/>
    <x v="0"/>
    <x v="3"/>
    <x v="7"/>
    <n v="41000"/>
    <d v="2025-03-16T00:00:00"/>
    <n v="1.6"/>
    <s v="0-2 Years"/>
    <s v="Naukri"/>
    <n v="80.8"/>
    <n v="94.6"/>
    <n v="0"/>
    <n v="9"/>
    <x v="0"/>
    <m/>
    <x v="3"/>
  </r>
  <r>
    <n v="243"/>
    <s v="Employee_243"/>
    <x v="0"/>
    <n v="46"/>
    <x v="2"/>
    <x v="6"/>
    <x v="20"/>
    <n v="32000"/>
    <d v="2022-04-25T00:00:00"/>
    <n v="4.5"/>
    <s v="3-5 Years"/>
    <s v="LinkedIn"/>
    <n v="89.1"/>
    <n v="86.2"/>
    <n v="7"/>
    <n v="15"/>
    <x v="0"/>
    <m/>
    <x v="2"/>
  </r>
  <r>
    <n v="244"/>
    <s v="Employee_244"/>
    <x v="1"/>
    <n v="41"/>
    <x v="2"/>
    <x v="1"/>
    <x v="9"/>
    <n v="38000"/>
    <d v="2020-06-24T00:00:00"/>
    <n v="6.3"/>
    <s v="6-8 Years"/>
    <s v="Employee Referral"/>
    <n v="71.599999999999994"/>
    <n v="96.7"/>
    <n v="17"/>
    <n v="5"/>
    <x v="0"/>
    <m/>
    <x v="4"/>
  </r>
  <r>
    <n v="245"/>
    <s v="Employee_245"/>
    <x v="0"/>
    <n v="58"/>
    <x v="1"/>
    <x v="2"/>
    <x v="2"/>
    <n v="41000"/>
    <d v="2019-10-04T00:00:00"/>
    <n v="7"/>
    <s v="6-8 Years"/>
    <s v="Campus Recruitment"/>
    <n v="94.7"/>
    <n v="98.6"/>
    <n v="9"/>
    <n v="16"/>
    <x v="0"/>
    <m/>
    <x v="4"/>
  </r>
  <r>
    <n v="246"/>
    <s v="Employee_246"/>
    <x v="1"/>
    <n v="26"/>
    <x v="3"/>
    <x v="5"/>
    <x v="12"/>
    <n v="52000"/>
    <d v="2026-03-08T00:00:00"/>
    <n v="0.6"/>
    <s v="0-2 Years"/>
    <s v="LinkedIn"/>
    <n v="78.099999999999994"/>
    <n v="92.8"/>
    <n v="9"/>
    <n v="2"/>
    <x v="0"/>
    <m/>
    <x v="2"/>
  </r>
  <r>
    <n v="247"/>
    <s v="Employee_247"/>
    <x v="1"/>
    <n v="46"/>
    <x v="2"/>
    <x v="4"/>
    <x v="11"/>
    <n v="30000"/>
    <d v="2025-07-30T00:00:00"/>
    <n v="1.2"/>
    <s v="0-2 Years"/>
    <s v="Naukri"/>
    <n v="84.3"/>
    <n v="83.2"/>
    <n v="7"/>
    <n v="1"/>
    <x v="0"/>
    <m/>
    <x v="3"/>
  </r>
  <r>
    <n v="248"/>
    <s v="Employee_248"/>
    <x v="0"/>
    <n v="50"/>
    <x v="2"/>
    <x v="1"/>
    <x v="13"/>
    <n v="37000"/>
    <d v="2025-11-12T00:00:00"/>
    <n v="0.9"/>
    <s v="0-2 Years"/>
    <s v="LinkedIn"/>
    <n v="81.2"/>
    <n v="87.4"/>
    <n v="0"/>
    <n v="4"/>
    <x v="0"/>
    <m/>
    <x v="0"/>
  </r>
  <r>
    <n v="249"/>
    <s v="Employee_249"/>
    <x v="1"/>
    <n v="54"/>
    <x v="1"/>
    <x v="4"/>
    <x v="5"/>
    <n v="45000"/>
    <d v="2024-10-19T00:00:00"/>
    <n v="2"/>
    <s v="0-2 Years"/>
    <s v="Naukri"/>
    <n v="62.2"/>
    <n v="84.2"/>
    <n v="3"/>
    <n v="0"/>
    <x v="0"/>
    <m/>
    <x v="1"/>
  </r>
  <r>
    <n v="250"/>
    <s v="Employee_250"/>
    <x v="1"/>
    <n v="54"/>
    <x v="1"/>
    <x v="2"/>
    <x v="17"/>
    <n v="23000"/>
    <d v="2019-09-19T00:00:00"/>
    <n v="7"/>
    <s v="6-8 Years"/>
    <s v="Company Website"/>
    <n v="66.3"/>
    <n v="99.1"/>
    <n v="14"/>
    <n v="16"/>
    <x v="0"/>
    <m/>
    <x v="1"/>
  </r>
  <r>
    <n v="251"/>
    <s v="Employee_251"/>
    <x v="0"/>
    <n v="44"/>
    <x v="2"/>
    <x v="1"/>
    <x v="13"/>
    <n v="54000"/>
    <d v="2020-10-06T00:00:00"/>
    <n v="6"/>
    <s v="6-8 Years"/>
    <s v="Naukri"/>
    <n v="79.7"/>
    <n v="94.6"/>
    <n v="16"/>
    <n v="0"/>
    <x v="0"/>
    <m/>
    <x v="0"/>
  </r>
  <r>
    <n v="252"/>
    <s v="Employee_252"/>
    <x v="0"/>
    <n v="23"/>
    <x v="3"/>
    <x v="2"/>
    <x v="2"/>
    <n v="39000"/>
    <d v="2024-04-16T00:00:00"/>
    <n v="2.5"/>
    <s v="3-5 Years"/>
    <s v="LinkedIn"/>
    <n v="70.7"/>
    <n v="98.1"/>
    <n v="17"/>
    <n v="13"/>
    <x v="0"/>
    <m/>
    <x v="3"/>
  </r>
  <r>
    <n v="253"/>
    <s v="Employee_253"/>
    <x v="1"/>
    <n v="41"/>
    <x v="2"/>
    <x v="3"/>
    <x v="3"/>
    <n v="50000"/>
    <d v="2022-01-16T00:00:00"/>
    <n v="4.7"/>
    <s v="3-5 Years"/>
    <s v="Indeed"/>
    <n v="60.1"/>
    <n v="93.8"/>
    <n v="7"/>
    <n v="16"/>
    <x v="0"/>
    <m/>
    <x v="0"/>
  </r>
  <r>
    <n v="254"/>
    <s v="Employee_254"/>
    <x v="1"/>
    <n v="39"/>
    <x v="0"/>
    <x v="5"/>
    <x v="21"/>
    <n v="38000"/>
    <d v="2022-06-26T00:00:00"/>
    <n v="4.3"/>
    <s v="3-5 Years"/>
    <s v="Employee Referral"/>
    <n v="69.099999999999994"/>
    <n v="91.7"/>
    <n v="6"/>
    <n v="9"/>
    <x v="0"/>
    <m/>
    <x v="2"/>
  </r>
  <r>
    <n v="255"/>
    <s v="Employee_255"/>
    <x v="0"/>
    <n v="50"/>
    <x v="2"/>
    <x v="2"/>
    <x v="17"/>
    <n v="28000"/>
    <d v="2023-02-17T00:00:00"/>
    <n v="3.6"/>
    <s v="3-5 Years"/>
    <s v="Indeed"/>
    <n v="88.2"/>
    <n v="85.4"/>
    <n v="0"/>
    <n v="13"/>
    <x v="1"/>
    <d v="2026-01-28T00:00:00"/>
    <x v="0"/>
  </r>
  <r>
    <n v="256"/>
    <s v="Employee_256"/>
    <x v="1"/>
    <n v="21"/>
    <x v="3"/>
    <x v="4"/>
    <x v="4"/>
    <n v="36000"/>
    <d v="2022-10-04T00:00:00"/>
    <n v="4"/>
    <s v="3-5 Years"/>
    <s v="LinkedIn"/>
    <n v="55.1"/>
    <n v="93.5"/>
    <n v="6"/>
    <n v="16"/>
    <x v="0"/>
    <m/>
    <x v="3"/>
  </r>
  <r>
    <n v="257"/>
    <s v="Employee_257"/>
    <x v="0"/>
    <n v="30"/>
    <x v="3"/>
    <x v="5"/>
    <x v="6"/>
    <n v="73000"/>
    <d v="2022-02-20T00:00:00"/>
    <n v="4.5999999999999996"/>
    <s v="3-5 Years"/>
    <s v="Company Website"/>
    <n v="93.6"/>
    <n v="91.1"/>
    <n v="23"/>
    <n v="2"/>
    <x v="0"/>
    <m/>
    <x v="2"/>
  </r>
  <r>
    <n v="258"/>
    <s v="Employee_258"/>
    <x v="1"/>
    <n v="25"/>
    <x v="3"/>
    <x v="1"/>
    <x v="1"/>
    <n v="70000"/>
    <d v="2025-08-21T00:00:00"/>
    <n v="1.1000000000000001"/>
    <s v="0-2 Years"/>
    <s v="Indeed"/>
    <n v="79.400000000000006"/>
    <n v="89.6"/>
    <n v="9"/>
    <n v="8"/>
    <x v="0"/>
    <m/>
    <x v="1"/>
  </r>
  <r>
    <n v="259"/>
    <s v="Employee_259"/>
    <x v="1"/>
    <n v="41"/>
    <x v="2"/>
    <x v="2"/>
    <x v="17"/>
    <n v="35000"/>
    <d v="2024-01-29T00:00:00"/>
    <n v="2.7"/>
    <s v="3-5 Years"/>
    <s v="Indeed"/>
    <n v="63.7"/>
    <n v="95.6"/>
    <n v="3"/>
    <n v="5"/>
    <x v="1"/>
    <d v="2026-06-17T00:00:00"/>
    <x v="4"/>
  </r>
  <r>
    <n v="260"/>
    <s v="Employee_260"/>
    <x v="1"/>
    <n v="28"/>
    <x v="3"/>
    <x v="5"/>
    <x v="6"/>
    <n v="56000"/>
    <d v="2025-01-04T00:00:00"/>
    <n v="1.8"/>
    <s v="0-2 Years"/>
    <s v="Employee Referral"/>
    <n v="70.400000000000006"/>
    <n v="95.5"/>
    <n v="14"/>
    <n v="8"/>
    <x v="0"/>
    <m/>
    <x v="0"/>
  </r>
  <r>
    <n v="261"/>
    <s v="Employee_261"/>
    <x v="1"/>
    <n v="23"/>
    <x v="3"/>
    <x v="1"/>
    <x v="1"/>
    <n v="60000"/>
    <d v="2021-05-30T00:00:00"/>
    <n v="5.4"/>
    <s v="6-8 Years"/>
    <s v="Company Website"/>
    <n v="58.9"/>
    <n v="86.3"/>
    <n v="16"/>
    <n v="1"/>
    <x v="0"/>
    <m/>
    <x v="1"/>
  </r>
  <r>
    <n v="262"/>
    <s v="Employee_262"/>
    <x v="0"/>
    <n v="46"/>
    <x v="2"/>
    <x v="3"/>
    <x v="3"/>
    <n v="37000"/>
    <d v="2024-01-27T00:00:00"/>
    <n v="2.7"/>
    <s v="3-5 Years"/>
    <s v="Company Website"/>
    <n v="78.900000000000006"/>
    <n v="91.6"/>
    <n v="3"/>
    <n v="4"/>
    <x v="0"/>
    <m/>
    <x v="0"/>
  </r>
  <r>
    <n v="263"/>
    <s v="Employee_263"/>
    <x v="0"/>
    <n v="29"/>
    <x v="3"/>
    <x v="1"/>
    <x v="9"/>
    <n v="60000"/>
    <d v="2021-03-22T00:00:00"/>
    <n v="5.5"/>
    <s v="6-8 Years"/>
    <s v="Employee Referral"/>
    <n v="82.1"/>
    <n v="93.3"/>
    <n v="2"/>
    <n v="0"/>
    <x v="1"/>
    <d v="2025-02-13T00:00:00"/>
    <x v="0"/>
  </r>
  <r>
    <n v="264"/>
    <s v="Employee_264"/>
    <x v="1"/>
    <n v="29"/>
    <x v="3"/>
    <x v="4"/>
    <x v="4"/>
    <n v="34000"/>
    <d v="2020-01-12T00:00:00"/>
    <n v="6.7"/>
    <s v="6-8 Years"/>
    <s v="LinkedIn"/>
    <n v="93.9"/>
    <n v="96.5"/>
    <n v="1"/>
    <n v="14"/>
    <x v="0"/>
    <m/>
    <x v="0"/>
  </r>
  <r>
    <n v="265"/>
    <s v="Employee_265"/>
    <x v="1"/>
    <n v="46"/>
    <x v="2"/>
    <x v="4"/>
    <x v="4"/>
    <n v="55000"/>
    <d v="2024-07-25T00:00:00"/>
    <n v="2.2000000000000002"/>
    <s v="3-5 Years"/>
    <s v="Employee Referral"/>
    <n v="62.4"/>
    <n v="85.8"/>
    <n v="8"/>
    <n v="14"/>
    <x v="0"/>
    <m/>
    <x v="3"/>
  </r>
  <r>
    <n v="266"/>
    <s v="Employee_266"/>
    <x v="1"/>
    <n v="52"/>
    <x v="1"/>
    <x v="1"/>
    <x v="1"/>
    <n v="58000"/>
    <d v="2023-08-15T00:00:00"/>
    <n v="3.1"/>
    <s v="3-5 Years"/>
    <s v="Employee Referral"/>
    <n v="93"/>
    <n v="90.4"/>
    <n v="12"/>
    <n v="4"/>
    <x v="0"/>
    <m/>
    <x v="4"/>
  </r>
  <r>
    <n v="267"/>
    <s v="Employee_267"/>
    <x v="0"/>
    <n v="55"/>
    <x v="1"/>
    <x v="4"/>
    <x v="4"/>
    <n v="58000"/>
    <d v="2019-03-21T00:00:00"/>
    <n v="7.5"/>
    <s v="6-8 Years"/>
    <s v="Employee Referral"/>
    <n v="70.400000000000006"/>
    <n v="91.5"/>
    <n v="18"/>
    <n v="16"/>
    <x v="0"/>
    <m/>
    <x v="1"/>
  </r>
  <r>
    <n v="268"/>
    <s v="Employee_268"/>
    <x v="0"/>
    <n v="22"/>
    <x v="3"/>
    <x v="5"/>
    <x v="6"/>
    <n v="50000"/>
    <d v="2022-07-30T00:00:00"/>
    <n v="4.2"/>
    <s v="3-5 Years"/>
    <s v="LinkedIn"/>
    <n v="80.7"/>
    <n v="82.5"/>
    <n v="15"/>
    <n v="16"/>
    <x v="0"/>
    <m/>
    <x v="1"/>
  </r>
  <r>
    <n v="269"/>
    <s v="Employee_269"/>
    <x v="0"/>
    <n v="31"/>
    <x v="0"/>
    <x v="2"/>
    <x v="10"/>
    <n v="36000"/>
    <d v="2020-02-15T00:00:00"/>
    <n v="6.6"/>
    <s v="6-8 Years"/>
    <s v="Indeed"/>
    <n v="77.900000000000006"/>
    <n v="95.8"/>
    <n v="18"/>
    <n v="12"/>
    <x v="0"/>
    <m/>
    <x v="1"/>
  </r>
  <r>
    <n v="270"/>
    <s v="Employee_270"/>
    <x v="0"/>
    <n v="36"/>
    <x v="0"/>
    <x v="2"/>
    <x v="2"/>
    <n v="41000"/>
    <d v="2025-08-23T00:00:00"/>
    <n v="1.1000000000000001"/>
    <s v="0-2 Years"/>
    <s v="Campus Recruitment"/>
    <n v="68.7"/>
    <n v="94.9"/>
    <n v="0"/>
    <n v="11"/>
    <x v="0"/>
    <m/>
    <x v="2"/>
  </r>
  <r>
    <n v="271"/>
    <s v="Employee_271"/>
    <x v="0"/>
    <n v="52"/>
    <x v="1"/>
    <x v="6"/>
    <x v="19"/>
    <n v="39000"/>
    <d v="2025-01-29T00:00:00"/>
    <n v="1.7"/>
    <s v="0-2 Years"/>
    <s v="LinkedIn"/>
    <n v="58.9"/>
    <n v="86.1"/>
    <n v="16"/>
    <n v="15"/>
    <x v="0"/>
    <m/>
    <x v="0"/>
  </r>
  <r>
    <n v="272"/>
    <s v="Employee_272"/>
    <x v="0"/>
    <n v="29"/>
    <x v="3"/>
    <x v="3"/>
    <x v="7"/>
    <n v="55000"/>
    <d v="2022-10-27T00:00:00"/>
    <n v="3.9"/>
    <s v="3-5 Years"/>
    <s v="LinkedIn"/>
    <n v="85.8"/>
    <n v="98.1"/>
    <n v="0"/>
    <n v="4"/>
    <x v="0"/>
    <m/>
    <x v="2"/>
  </r>
  <r>
    <n v="273"/>
    <s v="Employee_273"/>
    <x v="0"/>
    <n v="54"/>
    <x v="1"/>
    <x v="0"/>
    <x v="0"/>
    <n v="55000"/>
    <d v="2023-02-03T00:00:00"/>
    <n v="3.7"/>
    <s v="3-5 Years"/>
    <s v="Employee Referral"/>
    <n v="95.5"/>
    <n v="88.9"/>
    <n v="9"/>
    <n v="10"/>
    <x v="0"/>
    <m/>
    <x v="3"/>
  </r>
  <r>
    <n v="274"/>
    <s v="Employee_274"/>
    <x v="1"/>
    <n v="52"/>
    <x v="1"/>
    <x v="4"/>
    <x v="4"/>
    <n v="39000"/>
    <d v="2026-04-13T00:00:00"/>
    <n v="0.5"/>
    <s v="0-2 Years"/>
    <s v="Naukri"/>
    <n v="68.599999999999994"/>
    <n v="94.4"/>
    <n v="19"/>
    <n v="11"/>
    <x v="0"/>
    <m/>
    <x v="3"/>
  </r>
  <r>
    <n v="275"/>
    <s v="Employee_275"/>
    <x v="0"/>
    <n v="45"/>
    <x v="2"/>
    <x v="0"/>
    <x v="8"/>
    <n v="45000"/>
    <d v="2022-06-10T00:00:00"/>
    <n v="4.3"/>
    <s v="3-5 Years"/>
    <s v="Campus Recruitment"/>
    <n v="62.6"/>
    <n v="82"/>
    <n v="1"/>
    <n v="5"/>
    <x v="1"/>
    <d v="2025-09-01T00:00:00"/>
    <x v="2"/>
  </r>
  <r>
    <n v="276"/>
    <s v="Employee_276"/>
    <x v="0"/>
    <n v="57"/>
    <x v="1"/>
    <x v="3"/>
    <x v="7"/>
    <n v="36000"/>
    <d v="2020-03-02T00:00:00"/>
    <n v="6.6"/>
    <s v="6-8 Years"/>
    <s v="Indeed"/>
    <n v="95.3"/>
    <n v="84.5"/>
    <n v="11"/>
    <n v="10"/>
    <x v="0"/>
    <m/>
    <x v="3"/>
  </r>
  <r>
    <n v="277"/>
    <s v="Employee_277"/>
    <x v="1"/>
    <n v="49"/>
    <x v="2"/>
    <x v="0"/>
    <x v="0"/>
    <n v="45000"/>
    <d v="2019-02-16T00:00:00"/>
    <n v="7.6"/>
    <s v="6-8 Years"/>
    <s v="Naukri"/>
    <n v="57.9"/>
    <n v="86.5"/>
    <n v="0"/>
    <n v="1"/>
    <x v="0"/>
    <m/>
    <x v="4"/>
  </r>
  <r>
    <n v="278"/>
    <s v="Employee_278"/>
    <x v="1"/>
    <n v="31"/>
    <x v="0"/>
    <x v="5"/>
    <x v="12"/>
    <n v="60000"/>
    <d v="2023-08-23T00:00:00"/>
    <n v="3.1"/>
    <s v="3-5 Years"/>
    <s v="LinkedIn"/>
    <n v="76.2"/>
    <n v="88.6"/>
    <n v="15"/>
    <n v="18"/>
    <x v="1"/>
    <d v="2025-09-17T00:00:00"/>
    <x v="3"/>
  </r>
  <r>
    <n v="279"/>
    <s v="Employee_279"/>
    <x v="0"/>
    <n v="23"/>
    <x v="3"/>
    <x v="4"/>
    <x v="5"/>
    <n v="49000"/>
    <d v="2022-04-22T00:00:00"/>
    <n v="4.5"/>
    <s v="3-5 Years"/>
    <s v="Indeed"/>
    <n v="59.5"/>
    <n v="88"/>
    <n v="23"/>
    <n v="2"/>
    <x v="0"/>
    <m/>
    <x v="2"/>
  </r>
  <r>
    <n v="280"/>
    <s v="Employee_280"/>
    <x v="1"/>
    <n v="22"/>
    <x v="3"/>
    <x v="1"/>
    <x v="18"/>
    <n v="56000"/>
    <d v="2023-11-02T00:00:00"/>
    <n v="2.9"/>
    <s v="3-5 Years"/>
    <s v="Indeed"/>
    <n v="95.5"/>
    <n v="84.9"/>
    <n v="1"/>
    <n v="3"/>
    <x v="0"/>
    <m/>
    <x v="1"/>
  </r>
  <r>
    <n v="281"/>
    <s v="Employee_281"/>
    <x v="1"/>
    <n v="56"/>
    <x v="1"/>
    <x v="4"/>
    <x v="11"/>
    <n v="41000"/>
    <d v="2025-01-21T00:00:00"/>
    <n v="1.7"/>
    <s v="0-2 Years"/>
    <s v="Company Website"/>
    <n v="65.2"/>
    <n v="82.9"/>
    <n v="4"/>
    <n v="1"/>
    <x v="1"/>
    <d v="2025-03-23T00:00:00"/>
    <x v="1"/>
  </r>
  <r>
    <n v="282"/>
    <s v="Employee_282"/>
    <x v="0"/>
    <n v="39"/>
    <x v="0"/>
    <x v="1"/>
    <x v="13"/>
    <n v="64000"/>
    <d v="2026-06-04T00:00:00"/>
    <n v="0.3"/>
    <s v="0-2 Years"/>
    <s v="LinkedIn"/>
    <n v="81.900000000000006"/>
    <n v="90.4"/>
    <n v="6"/>
    <n v="5"/>
    <x v="0"/>
    <m/>
    <x v="1"/>
  </r>
  <r>
    <n v="283"/>
    <s v="Employee_283"/>
    <x v="0"/>
    <n v="40"/>
    <x v="0"/>
    <x v="1"/>
    <x v="13"/>
    <n v="29000"/>
    <d v="2023-06-17T00:00:00"/>
    <n v="3.3"/>
    <s v="3-5 Years"/>
    <s v="Indeed"/>
    <n v="66.400000000000006"/>
    <n v="93.2"/>
    <n v="11"/>
    <n v="12"/>
    <x v="0"/>
    <m/>
    <x v="1"/>
  </r>
  <r>
    <n v="284"/>
    <s v="Employee_284"/>
    <x v="0"/>
    <n v="37"/>
    <x v="0"/>
    <x v="4"/>
    <x v="5"/>
    <n v="45000"/>
    <d v="2023-12-07T00:00:00"/>
    <n v="2.8"/>
    <s v="3-5 Years"/>
    <s v="Campus Recruitment"/>
    <n v="75"/>
    <n v="86"/>
    <n v="1"/>
    <n v="4"/>
    <x v="0"/>
    <m/>
    <x v="0"/>
  </r>
  <r>
    <n v="285"/>
    <s v="Employee_285"/>
    <x v="1"/>
    <n v="58"/>
    <x v="1"/>
    <x v="1"/>
    <x v="18"/>
    <n v="33000"/>
    <d v="2021-07-20T00:00:00"/>
    <n v="5.2"/>
    <s v="6-8 Years"/>
    <s v="Campus Recruitment"/>
    <n v="90.2"/>
    <n v="89.3"/>
    <n v="7"/>
    <n v="15"/>
    <x v="1"/>
    <d v="2025-06-07T00:00:00"/>
    <x v="1"/>
  </r>
  <r>
    <n v="286"/>
    <s v="Employee_286"/>
    <x v="0"/>
    <n v="53"/>
    <x v="1"/>
    <x v="1"/>
    <x v="13"/>
    <n v="47000"/>
    <d v="2025-05-28T00:00:00"/>
    <n v="1.4"/>
    <s v="0-2 Years"/>
    <s v="LinkedIn"/>
    <n v="93.7"/>
    <n v="96"/>
    <n v="24"/>
    <n v="14"/>
    <x v="1"/>
    <d v="2026-05-09T00:00:00"/>
    <x v="3"/>
  </r>
  <r>
    <n v="287"/>
    <s v="Employee_287"/>
    <x v="0"/>
    <n v="29"/>
    <x v="3"/>
    <x v="4"/>
    <x v="11"/>
    <n v="18000"/>
    <d v="2019-06-24T00:00:00"/>
    <n v="7.3"/>
    <s v="6-8 Years"/>
    <s v="Campus Recruitment"/>
    <n v="73.7"/>
    <n v="99.5"/>
    <n v="8"/>
    <n v="10"/>
    <x v="0"/>
    <m/>
    <x v="0"/>
  </r>
  <r>
    <n v="288"/>
    <s v="Employee_288"/>
    <x v="1"/>
    <n v="56"/>
    <x v="1"/>
    <x v="1"/>
    <x v="13"/>
    <n v="71000"/>
    <d v="2022-08-28T00:00:00"/>
    <n v="4.0999999999999996"/>
    <s v="3-5 Years"/>
    <s v="Naukri"/>
    <n v="91.8"/>
    <n v="91.1"/>
    <n v="19"/>
    <n v="18"/>
    <x v="0"/>
    <m/>
    <x v="2"/>
  </r>
  <r>
    <n v="289"/>
    <s v="Employee_289"/>
    <x v="0"/>
    <n v="47"/>
    <x v="2"/>
    <x v="2"/>
    <x v="17"/>
    <n v="42000"/>
    <d v="2020-09-04T00:00:00"/>
    <n v="6.1"/>
    <s v="6-8 Years"/>
    <s v="Campus Recruitment"/>
    <n v="87.6"/>
    <n v="98.4"/>
    <n v="24"/>
    <n v="3"/>
    <x v="0"/>
    <m/>
    <x v="1"/>
  </r>
  <r>
    <n v="290"/>
    <s v="Employee_290"/>
    <x v="1"/>
    <n v="47"/>
    <x v="2"/>
    <x v="2"/>
    <x v="10"/>
    <n v="44000"/>
    <d v="2021-12-17T00:00:00"/>
    <n v="4.8"/>
    <s v="3-5 Years"/>
    <s v="LinkedIn"/>
    <n v="71.5"/>
    <n v="90.5"/>
    <n v="5"/>
    <n v="8"/>
    <x v="1"/>
    <d v="2025-06-09T00:00:00"/>
    <x v="4"/>
  </r>
  <r>
    <n v="291"/>
    <s v="Employee_291"/>
    <x v="1"/>
    <n v="23"/>
    <x v="3"/>
    <x v="4"/>
    <x v="4"/>
    <n v="48000"/>
    <d v="2023-06-10T00:00:00"/>
    <n v="3.3"/>
    <s v="3-5 Years"/>
    <s v="Employee Referral"/>
    <n v="65.2"/>
    <n v="95.1"/>
    <n v="0"/>
    <n v="10"/>
    <x v="0"/>
    <m/>
    <x v="1"/>
  </r>
  <r>
    <n v="292"/>
    <s v="Employee_292"/>
    <x v="1"/>
    <n v="27"/>
    <x v="3"/>
    <x v="3"/>
    <x v="15"/>
    <n v="39000"/>
    <d v="2021-07-22T00:00:00"/>
    <n v="5.2"/>
    <s v="6-8 Years"/>
    <s v="Employee Referral"/>
    <n v="60.8"/>
    <n v="99"/>
    <n v="8"/>
    <n v="13"/>
    <x v="0"/>
    <m/>
    <x v="2"/>
  </r>
  <r>
    <n v="293"/>
    <s v="Employee_293"/>
    <x v="0"/>
    <n v="49"/>
    <x v="2"/>
    <x v="0"/>
    <x v="0"/>
    <n v="54000"/>
    <d v="2021-05-15T00:00:00"/>
    <n v="5.4"/>
    <s v="6-8 Years"/>
    <s v="LinkedIn"/>
    <n v="75.8"/>
    <n v="91"/>
    <n v="16"/>
    <n v="5"/>
    <x v="0"/>
    <m/>
    <x v="0"/>
  </r>
  <r>
    <n v="294"/>
    <s v="Employee_294"/>
    <x v="1"/>
    <n v="29"/>
    <x v="3"/>
    <x v="3"/>
    <x v="7"/>
    <n v="39000"/>
    <d v="2024-11-17T00:00:00"/>
    <n v="1.9"/>
    <s v="0-2 Years"/>
    <s v="Indeed"/>
    <n v="92.8"/>
    <n v="82.5"/>
    <n v="1"/>
    <n v="7"/>
    <x v="0"/>
    <m/>
    <x v="0"/>
  </r>
  <r>
    <n v="295"/>
    <s v="Employee_295"/>
    <x v="1"/>
    <n v="33"/>
    <x v="0"/>
    <x v="5"/>
    <x v="21"/>
    <n v="43000"/>
    <d v="2022-01-27T00:00:00"/>
    <n v="4.7"/>
    <s v="3-5 Years"/>
    <s v="Indeed"/>
    <n v="72.099999999999994"/>
    <n v="98.2"/>
    <n v="11"/>
    <n v="15"/>
    <x v="0"/>
    <m/>
    <x v="2"/>
  </r>
  <r>
    <n v="296"/>
    <s v="Employee_296"/>
    <x v="1"/>
    <n v="58"/>
    <x v="1"/>
    <x v="5"/>
    <x v="21"/>
    <n v="61000"/>
    <d v="2025-03-08T00:00:00"/>
    <n v="1.6"/>
    <s v="0-2 Years"/>
    <s v="Naukri"/>
    <n v="70"/>
    <n v="84.9"/>
    <n v="22"/>
    <n v="2"/>
    <x v="0"/>
    <m/>
    <x v="1"/>
  </r>
  <r>
    <n v="297"/>
    <s v="Employee_297"/>
    <x v="0"/>
    <n v="31"/>
    <x v="0"/>
    <x v="1"/>
    <x v="13"/>
    <n v="56000"/>
    <d v="2025-06-01T00:00:00"/>
    <n v="1.3"/>
    <s v="0-2 Years"/>
    <s v="Employee Referral"/>
    <n v="64.5"/>
    <n v="85.9"/>
    <n v="20"/>
    <n v="13"/>
    <x v="0"/>
    <m/>
    <x v="2"/>
  </r>
  <r>
    <n v="298"/>
    <s v="Employee_298"/>
    <x v="1"/>
    <n v="29"/>
    <x v="3"/>
    <x v="1"/>
    <x v="9"/>
    <n v="46000"/>
    <d v="2026-04-05T00:00:00"/>
    <n v="0.5"/>
    <s v="0-2 Years"/>
    <s v="Employee Referral"/>
    <n v="62.4"/>
    <n v="96"/>
    <n v="19"/>
    <n v="9"/>
    <x v="0"/>
    <m/>
    <x v="1"/>
  </r>
  <r>
    <n v="299"/>
    <s v="Employee_299"/>
    <x v="1"/>
    <n v="50"/>
    <x v="2"/>
    <x v="5"/>
    <x v="6"/>
    <n v="53000"/>
    <d v="2021-10-29T00:00:00"/>
    <n v="4.9000000000000004"/>
    <s v="3-5 Years"/>
    <s v="LinkedIn"/>
    <n v="77.400000000000006"/>
    <n v="92.9"/>
    <n v="16"/>
    <n v="11"/>
    <x v="1"/>
    <d v="2026-06-24T00:00:00"/>
    <x v="2"/>
  </r>
  <r>
    <n v="300"/>
    <s v="Employee_300"/>
    <x v="1"/>
    <n v="40"/>
    <x v="0"/>
    <x v="0"/>
    <x v="8"/>
    <n v="54000"/>
    <d v="2026-09-04T00:00:00"/>
    <n v="0.1"/>
    <s v="0-2 Years"/>
    <s v="Naukri"/>
    <n v="59.6"/>
    <n v="83.1"/>
    <n v="10"/>
    <n v="8"/>
    <x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44139-0B35-4D4F-9983-32AEA2B4D3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6" firstHeaderRow="1" firstDataRow="1" firstDataCol="1"/>
  <pivotFields count="19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Gender % of Total" fld="0" subtotal="count" showDataAs="percentOfTotal" baseField="2" baseItem="0" numFmtId="10"/>
  </dataFields>
  <formats count="3">
    <format dxfId="5">
      <pivotArea collapsedLevelsAreSubtotals="1" fieldPosition="0">
        <references count="1">
          <reference field="2" count="1">
            <x v="0"/>
          </reference>
        </references>
      </pivotArea>
    </format>
    <format dxfId="4">
      <pivotArea collapsedLevelsAreSubtotals="1" fieldPosition="0">
        <references count="1">
          <reference field="2" count="1">
            <x v="1"/>
          </reference>
        </references>
      </pivotArea>
    </format>
    <format dxfId="3">
      <pivotArea grandRow="1" outline="0" collapsedLevelsAreSubtotals="1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976B9-204C-4007-9D0A-DD2231F1D48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dataField="1"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C516F-CE01-4891-B257-507A71589A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1" firstHeaderRow="0" firstDataRow="1" firstDataCol="1"/>
  <pivotFields count="19">
    <pivotField dataField="1" showAll="0"/>
    <pivotField showAll="0"/>
    <pivotField showAll="0"/>
    <pivotField showAll="0"/>
    <pivotField showAll="0"/>
    <pivotField axis="axisRow" showAll="0" sortType="descending">
      <items count="8">
        <item x="2"/>
        <item x="5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3"/>
    </i>
    <i>
      <x v="6"/>
    </i>
    <i>
      <x v="2"/>
    </i>
    <i>
      <x v="1"/>
    </i>
    <i>
      <x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5" baseItem="5"/>
    <dataField name="Average of Years_of_Service" fld="9" subtotal="average" baseField="5" baseItem="3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184BD-F995-4180-B4A1-AE306B6859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18" baseItem="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155FF-ACEB-4F42-A2E8-8E7A3AB1BB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21"/>
        <item x="4"/>
        <item x="10"/>
        <item x="1"/>
        <item x="16"/>
        <item x="12"/>
        <item x="6"/>
        <item x="3"/>
        <item x="15"/>
        <item x="0"/>
        <item x="8"/>
        <item x="19"/>
        <item x="14"/>
        <item x="20"/>
        <item x="13"/>
        <item x="7"/>
        <item x="11"/>
        <item x="5"/>
        <item x="9"/>
        <item x="2"/>
        <item x="17"/>
        <item x="18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Employee_ID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996C1-DF01-4151-9BAD-12FF810C9F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2" firstHeaderRow="1" firstDataRow="2" firstDataCol="1"/>
  <pivotFields count="19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8">
        <item x="2"/>
        <item x="5"/>
        <item x="3"/>
        <item x="1"/>
        <item x="0"/>
        <item x="6"/>
        <item x="4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mployee_ID" fld="0" subtotal="count" baseField="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F876A-C490-4194-BC6C-CAD50350A0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% of Grand Total" fld="0" subtotal="count" showDataAs="percentOfTotal" baseField="16" baseItem="0" numFmtId="10"/>
  </dataFields>
  <formats count="3">
    <format dxfId="2">
      <pivotArea collapsedLevelsAreSubtotals="1" fieldPosition="0">
        <references count="1">
          <reference field="16" count="1">
            <x v="0"/>
          </reference>
        </references>
      </pivotArea>
    </format>
    <format dxfId="1">
      <pivotArea collapsedLevelsAreSubtotals="1" fieldPosition="0">
        <references count="1">
          <reference field="16" count="1">
            <x v="1"/>
          </reference>
        </references>
      </pivotArea>
    </format>
    <format dxfId="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67D75-491D-4095-B6CC-1296DF967CBF}" name="Table1" displayName="Table1" ref="A1:S301" totalsRowShown="0" headerRowDxfId="29" dataDxfId="27" headerRowBorderDxfId="28" tableBorderDxfId="26">
  <autoFilter ref="A1:S301" xr:uid="{5CE67D75-491D-4095-B6CC-1296DF967CBF}"/>
  <tableColumns count="19">
    <tableColumn id="1" xr3:uid="{ED673F1A-FD21-4A5F-B9D3-B65A54FB0DBC}" name="Employee_ID" dataDxfId="25"/>
    <tableColumn id="2" xr3:uid="{1FFEF3AC-AEE0-47FA-8DF8-A0AA8AA612A3}" name="Employee_Name" dataDxfId="24"/>
    <tableColumn id="3" xr3:uid="{3BD1289E-650E-4531-8A64-217F14EACC18}" name="Gender" dataDxfId="23"/>
    <tableColumn id="4" xr3:uid="{ABFFBADF-6D94-4DA5-8143-EF4C7D65B57B}" name="Age" dataDxfId="22"/>
    <tableColumn id="19" xr3:uid="{FC16BE52-C412-4374-BB48-C33542EF9014}" name="Age Group" dataDxfId="21">
      <calculatedColumnFormula array="1">_xlfn.IFS(Table1[[#This Row],[Age]]&lt;=30, "18-30",Table1[[#This Row],[Age]]&lt;=40, "31-40", Table1[[#This Row],[Age]]&lt;=50, "41-50", TRUE, "51-65")</calculatedColumnFormula>
    </tableColumn>
    <tableColumn id="5" xr3:uid="{E668B378-AE6C-4803-BF9D-D0AE8BABEB55}" name="Department" dataDxfId="20"/>
    <tableColumn id="6" xr3:uid="{8108DC64-6C73-4510-9FD3-11A8D14C2378}" name="Position" dataDxfId="19"/>
    <tableColumn id="7" xr3:uid="{E5B089C8-A7B7-4778-A0F7-5B0F96BAAC22}" name="Salary" dataDxfId="18"/>
    <tableColumn id="8" xr3:uid="{2FA63686-76C1-4E60-B396-4937BC4058FD}" name="Hire_Date" dataDxfId="17"/>
    <tableColumn id="9" xr3:uid="{77BB2842-6020-4DCC-8F08-F2351368691C}" name="Years_of_Service" dataDxfId="16"/>
    <tableColumn id="22" xr3:uid="{E7DE1D97-76BE-4ACB-8B8F-DB084CC0F8B6}" name="Experience Group" dataDxfId="15">
      <calculatedColumnFormula array="1">_xlfn.IFS(Table1[[#This Row],[Years_of_Service]]&lt;=2, "0-2 Years", Table1[[#This Row],[Years_of_Service]]&lt;=5, "3-5 Years", Table1[[#This Row],[Years_of_Service]]&lt;=8, "6-8 Years", TRUE, "8 Years")</calculatedColumnFormula>
    </tableColumn>
    <tableColumn id="10" xr3:uid="{6BB941B9-DCEA-43D8-BFB6-278D44F3E7BF}" name="Recruitment_Source" dataDxfId="14"/>
    <tableColumn id="11" xr3:uid="{4071B821-C590-428D-8033-E05A7A49C41A}" name="Performance_Score" dataDxfId="13"/>
    <tableColumn id="12" xr3:uid="{FDEA5539-9896-4E4C-8FEF-B7B1065A1C76}" name="Attendance_Percentage" dataDxfId="12"/>
    <tableColumn id="13" xr3:uid="{FA1F6BEF-13CA-4F99-A134-C4572F3EE32C}" name="Absence_Days" dataDxfId="11"/>
    <tableColumn id="14" xr3:uid="{1465813B-8951-4974-BADE-E900CC65E19C}" name="Leave_Days" dataDxfId="10"/>
    <tableColumn id="15" xr3:uid="{70510A40-DE20-47DC-B15B-03D0A9B63504}" name="Employment_Status" dataDxfId="9"/>
    <tableColumn id="16" xr3:uid="{96B7A4A9-8EF3-4639-ADCC-CC660B987449}" name="Termination_Date" dataDxfId="8"/>
    <tableColumn id="17" xr3:uid="{D5D6D3DB-588B-48AC-ACE4-FFD7EE75FF99}" name="Location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92952-37B3-48DE-A932-A61C9493C49B}" name="Table2" displayName="Table2" ref="A1:H2" totalsRowShown="0">
  <autoFilter ref="A1:H2" xr:uid="{7A292952-37B3-48DE-A932-A61C9493C49B}"/>
  <tableColumns count="8">
    <tableColumn id="1" xr3:uid="{8694C279-DED5-43C2-8CE9-CD4C39B83CF1}" name="Total Employees">
      <calculatedColumnFormula>COUNTA(Employee_Master!A2:A301)</calculatedColumnFormula>
    </tableColumn>
    <tableColumn id="2" xr3:uid="{4F3E394F-78E7-4596-8946-B856B3BD5088}" name="Average Age">
      <calculatedColumnFormula>AVERAGE(Employee_Master!D2:D301)</calculatedColumnFormula>
    </tableColumn>
    <tableColumn id="3" xr3:uid="{70B1D30C-C443-4D59-A8FC-2E72C69603F1}" name="Youngest Employees">
      <calculatedColumnFormula>MIN(Employee_Master!D2:D301)</calculatedColumnFormula>
    </tableColumn>
    <tableColumn id="4" xr3:uid="{B8A9D579-D2B9-43B5-BF13-31D0BAA48366}" name="Oldest Employees">
      <calculatedColumnFormula>MAX(Employee_Master!D2:D301)</calculatedColumnFormula>
    </tableColumn>
    <tableColumn id="5" xr3:uid="{1C8F24D3-FC3F-4902-AB1B-31BC6AA7DA05}" name="Average Experience">
      <calculatedColumnFormula>AVERAGE(Employee_Master!J2:J301)</calculatedColumnFormula>
    </tableColumn>
    <tableColumn id="6" xr3:uid="{4559586F-035C-48D4-9931-ABE5CAA106A2}" name="Active Employees">
      <calculatedColumnFormula>COUNTIF(Employee_Master!Q2:Q301, "Active")</calculatedColumnFormula>
    </tableColumn>
    <tableColumn id="7" xr3:uid="{1CFF3299-1B62-4EBC-B441-7226ACAA9E67}" name="Resigned Employees">
      <calculatedColumnFormula>COUNTIF(Employee_Master!Q2:Q301, "Resigned")</calculatedColumnFormula>
    </tableColumn>
    <tableColumn id="8" xr3:uid="{1F9BA932-FCA6-4B82-B106-40EDEE89394A}" name="% of Total Active  " dataDxfId="6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1"/>
  <sheetViews>
    <sheetView tabSelected="1" topLeftCell="K1" workbookViewId="0">
      <pane ySplit="1" topLeftCell="A2" activePane="bottomLeft" state="frozen"/>
      <selection pane="bottomLeft" activeCell="Q21" sqref="Q21"/>
    </sheetView>
  </sheetViews>
  <sheetFormatPr defaultRowHeight="14.4" x14ac:dyDescent="0.3"/>
  <cols>
    <col min="1" max="1" width="16.5546875" bestFit="1" customWidth="1"/>
    <col min="2" max="2" width="19.88671875" bestFit="1" customWidth="1"/>
    <col min="3" max="3" width="11.5546875" bestFit="1" customWidth="1"/>
    <col min="4" max="4" width="8.6640625" bestFit="1" customWidth="1"/>
    <col min="5" max="5" width="15.77734375" bestFit="1" customWidth="1"/>
    <col min="6" max="7" width="27.88671875" bestFit="1" customWidth="1"/>
    <col min="8" max="8" width="13.6640625" bestFit="1" customWidth="1"/>
    <col min="9" max="9" width="19.77734375" bestFit="1" customWidth="1"/>
    <col min="10" max="10" width="22.77734375" bestFit="1" customWidth="1"/>
    <col min="11" max="11" width="22.21875" bestFit="1" customWidth="1"/>
    <col min="12" max="14" width="26" bestFit="1" customWidth="1"/>
    <col min="15" max="17" width="22.6640625" bestFit="1" customWidth="1"/>
    <col min="18" max="18" width="20.6640625" bestFit="1" customWidth="1"/>
    <col min="19" max="19" width="12.6640625" bestFit="1" customWidth="1"/>
  </cols>
  <sheetData>
    <row r="1" spans="1:19" x14ac:dyDescent="0.3">
      <c r="A1" s="2" t="s">
        <v>10</v>
      </c>
      <c r="B1" s="2" t="s">
        <v>11</v>
      </c>
      <c r="C1" s="2" t="s">
        <v>12</v>
      </c>
      <c r="D1" s="2" t="s">
        <v>13</v>
      </c>
      <c r="E1" s="3" t="s">
        <v>371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3" t="s">
        <v>372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x14ac:dyDescent="0.3">
      <c r="A2" s="4">
        <v>1</v>
      </c>
      <c r="B2" s="4" t="s">
        <v>27</v>
      </c>
      <c r="C2" s="4" t="s">
        <v>28</v>
      </c>
      <c r="D2" s="4">
        <v>38</v>
      </c>
      <c r="E2" s="4" t="str" cm="1">
        <f t="array" ref="E2">_xlfn.IFS(Table1[[#This Row],[Age]]&lt;=30, "18-30",Table1[[#This Row],[Age]]&lt;=40, "31-40", Table1[[#This Row],[Age]]&lt;=50, "41-50", TRUE, "51-65")</f>
        <v>31-40</v>
      </c>
      <c r="F2" s="4" t="s">
        <v>29</v>
      </c>
      <c r="G2" s="4" t="s">
        <v>30</v>
      </c>
      <c r="H2" s="4">
        <v>48000</v>
      </c>
      <c r="I2" s="5">
        <v>44469</v>
      </c>
      <c r="J2" s="4">
        <v>5</v>
      </c>
      <c r="K2" s="4" t="str" cm="1">
        <f t="array" ref="K2">_xlfn.IFS(Table1[[#This Row],[Years_of_Service]]&lt;=2, "0-2 Years", Table1[[#This Row],[Years_of_Service]]&lt;=5, "3-5 Years", Table1[[#This Row],[Years_of_Service]]&lt;=8, "6-8 Years", TRUE, "8 Years")</f>
        <v>3-5 Years</v>
      </c>
      <c r="L2" s="4" t="s">
        <v>31</v>
      </c>
      <c r="M2" s="4">
        <v>84.1</v>
      </c>
      <c r="N2" s="4">
        <v>97.6</v>
      </c>
      <c r="O2" s="4">
        <v>13</v>
      </c>
      <c r="P2" s="4">
        <v>1</v>
      </c>
      <c r="Q2" s="4" t="s">
        <v>32</v>
      </c>
      <c r="R2" s="5"/>
      <c r="S2" s="4" t="s">
        <v>33</v>
      </c>
    </row>
    <row r="3" spans="1:19" x14ac:dyDescent="0.3">
      <c r="A3" s="4">
        <v>2</v>
      </c>
      <c r="B3" s="4" t="s">
        <v>34</v>
      </c>
      <c r="C3" s="4" t="s">
        <v>28</v>
      </c>
      <c r="D3" s="4">
        <v>53</v>
      </c>
      <c r="E3" s="4" t="str" cm="1">
        <f t="array" ref="E3">_xlfn.IFS(Table1[[#This Row],[Age]]&lt;=30, "18-30",Table1[[#This Row],[Age]]&lt;=40, "31-40", Table1[[#This Row],[Age]]&lt;=50, "41-50", TRUE, "51-65")</f>
        <v>51-65</v>
      </c>
      <c r="F3" s="4" t="s">
        <v>35</v>
      </c>
      <c r="G3" s="4" t="s">
        <v>36</v>
      </c>
      <c r="H3" s="4">
        <v>74000</v>
      </c>
      <c r="I3" s="5">
        <v>45566</v>
      </c>
      <c r="J3" s="4">
        <v>1</v>
      </c>
      <c r="K3" s="4" t="str" cm="1">
        <f t="array" ref="K3">_xlfn.IFS(Table1[[#This Row],[Years_of_Service]]&lt;=2, "0-2 Years", Table1[[#This Row],[Years_of_Service]]&lt;=5, "3-5 Years", Table1[[#This Row],[Years_of_Service]]&lt;=8, "6-8 Years", TRUE, "8 Years")</f>
        <v>0-2 Years</v>
      </c>
      <c r="L3" s="4" t="s">
        <v>37</v>
      </c>
      <c r="M3" s="4">
        <v>56.1</v>
      </c>
      <c r="N3" s="4">
        <v>85.5</v>
      </c>
      <c r="O3" s="4">
        <v>14</v>
      </c>
      <c r="P3" s="4">
        <v>18</v>
      </c>
      <c r="Q3" s="4" t="s">
        <v>38</v>
      </c>
      <c r="R3" s="5">
        <v>45872</v>
      </c>
      <c r="S3" s="4" t="s">
        <v>39</v>
      </c>
    </row>
    <row r="4" spans="1:19" x14ac:dyDescent="0.3">
      <c r="A4" s="4">
        <v>3</v>
      </c>
      <c r="B4" s="4" t="s">
        <v>40</v>
      </c>
      <c r="C4" s="4" t="s">
        <v>28</v>
      </c>
      <c r="D4" s="4">
        <v>48</v>
      </c>
      <c r="E4" s="4" t="str" cm="1">
        <f t="array" ref="E4">_xlfn.IFS(Table1[[#This Row],[Age]]&lt;=30, "18-30",Table1[[#This Row],[Age]]&lt;=40, "31-40", Table1[[#This Row],[Age]]&lt;=50, "41-50", TRUE, "51-65")</f>
        <v>41-50</v>
      </c>
      <c r="F4" s="4" t="s">
        <v>41</v>
      </c>
      <c r="G4" s="4" t="s">
        <v>42</v>
      </c>
      <c r="H4" s="4">
        <v>35000</v>
      </c>
      <c r="I4" s="5">
        <v>44859</v>
      </c>
      <c r="J4" s="4">
        <v>4</v>
      </c>
      <c r="K4" s="4" t="str" cm="1">
        <f t="array" ref="K4">_xlfn.IFS(Table1[[#This Row],[Years_of_Service]]&lt;=2, "0-2 Years", Table1[[#This Row],[Years_of_Service]]&lt;=5, "3-5 Years", Table1[[#This Row],[Years_of_Service]]&lt;=8, "6-8 Years", TRUE, "8 Years")</f>
        <v>3-5 Years</v>
      </c>
      <c r="L4" s="4" t="s">
        <v>43</v>
      </c>
      <c r="M4" s="4">
        <v>87.8</v>
      </c>
      <c r="N4" s="4">
        <v>83.8</v>
      </c>
      <c r="O4" s="4">
        <v>11</v>
      </c>
      <c r="P4" s="4">
        <v>11</v>
      </c>
      <c r="Q4" s="4" t="s">
        <v>32</v>
      </c>
      <c r="R4" s="5"/>
      <c r="S4" s="4" t="s">
        <v>44</v>
      </c>
    </row>
    <row r="5" spans="1:19" x14ac:dyDescent="0.3">
      <c r="A5" s="4">
        <v>4</v>
      </c>
      <c r="B5" s="4" t="s">
        <v>45</v>
      </c>
      <c r="C5" s="4" t="s">
        <v>46</v>
      </c>
      <c r="D5" s="4">
        <v>55</v>
      </c>
      <c r="E5" s="4" t="str" cm="1">
        <f t="array" ref="E5">_xlfn.IFS(Table1[[#This Row],[Age]]&lt;=30, "18-30",Table1[[#This Row],[Age]]&lt;=40, "31-40", Table1[[#This Row],[Age]]&lt;=50, "41-50", TRUE, "51-65")</f>
        <v>51-65</v>
      </c>
      <c r="F5" s="4" t="s">
        <v>47</v>
      </c>
      <c r="G5" s="4" t="s">
        <v>48</v>
      </c>
      <c r="H5" s="4">
        <v>51000</v>
      </c>
      <c r="I5" s="5">
        <v>43977</v>
      </c>
      <c r="J5" s="4">
        <v>6.4</v>
      </c>
      <c r="K5" s="4" t="str" cm="1">
        <f t="array" ref="K5">_xlfn.IFS(Table1[[#This Row],[Years_of_Service]]&lt;=2, "0-2 Years", Table1[[#This Row],[Years_of_Service]]&lt;=5, "3-5 Years", Table1[[#This Row],[Years_of_Service]]&lt;=8, "6-8 Years", TRUE, "8 Years")</f>
        <v>6-8 Years</v>
      </c>
      <c r="L5" s="4" t="s">
        <v>49</v>
      </c>
      <c r="M5" s="4">
        <v>96.8</v>
      </c>
      <c r="N5" s="4">
        <v>88.6</v>
      </c>
      <c r="O5" s="4">
        <v>19</v>
      </c>
      <c r="P5" s="4">
        <v>11</v>
      </c>
      <c r="Q5" s="4" t="s">
        <v>38</v>
      </c>
      <c r="R5" s="5">
        <v>46001</v>
      </c>
      <c r="S5" s="4" t="s">
        <v>44</v>
      </c>
    </row>
    <row r="6" spans="1:19" x14ac:dyDescent="0.3">
      <c r="A6" s="4">
        <v>5</v>
      </c>
      <c r="B6" s="4" t="s">
        <v>50</v>
      </c>
      <c r="C6" s="4" t="s">
        <v>28</v>
      </c>
      <c r="D6" s="4">
        <v>23</v>
      </c>
      <c r="E6" s="4" t="str" cm="1">
        <f t="array" ref="E6">_xlfn.IFS(Table1[[#This Row],[Age]]&lt;=30, "18-30",Table1[[#This Row],[Age]]&lt;=40, "31-40", Table1[[#This Row],[Age]]&lt;=50, "41-50", TRUE, "51-65")</f>
        <v>18-30</v>
      </c>
      <c r="F6" s="4" t="s">
        <v>51</v>
      </c>
      <c r="G6" s="4" t="s">
        <v>52</v>
      </c>
      <c r="H6" s="4">
        <v>43000</v>
      </c>
      <c r="I6" s="5">
        <v>46174</v>
      </c>
      <c r="J6" s="4">
        <v>0.4</v>
      </c>
      <c r="K6" s="4" t="str" cm="1">
        <f t="array" ref="K6">_xlfn.IFS(Table1[[#This Row],[Years_of_Service]]&lt;=2, "0-2 Years", Table1[[#This Row],[Years_of_Service]]&lt;=5, "3-5 Years", Table1[[#This Row],[Years_of_Service]]&lt;=8, "6-8 Years", TRUE, "8 Years")</f>
        <v>0-2 Years</v>
      </c>
      <c r="L6" s="4" t="s">
        <v>53</v>
      </c>
      <c r="M6" s="4">
        <v>58.4</v>
      </c>
      <c r="N6" s="4">
        <v>86.1</v>
      </c>
      <c r="O6" s="4">
        <v>8</v>
      </c>
      <c r="P6" s="4">
        <v>14</v>
      </c>
      <c r="Q6" s="4" t="s">
        <v>32</v>
      </c>
      <c r="R6" s="5"/>
      <c r="S6" s="4" t="s">
        <v>39</v>
      </c>
    </row>
    <row r="7" spans="1:19" x14ac:dyDescent="0.3">
      <c r="A7" s="4">
        <v>6</v>
      </c>
      <c r="B7" s="4" t="s">
        <v>54</v>
      </c>
      <c r="C7" s="4" t="s">
        <v>46</v>
      </c>
      <c r="D7" s="4">
        <v>34</v>
      </c>
      <c r="E7" s="4" t="str" cm="1">
        <f t="array" ref="E7">_xlfn.IFS(Table1[[#This Row],[Age]]&lt;=30, "18-30",Table1[[#This Row],[Age]]&lt;=40, "31-40", Table1[[#This Row],[Age]]&lt;=50, "41-50", TRUE, "51-65")</f>
        <v>31-40</v>
      </c>
      <c r="F7" s="4" t="s">
        <v>51</v>
      </c>
      <c r="G7" s="4" t="s">
        <v>55</v>
      </c>
      <c r="H7" s="4">
        <v>49000</v>
      </c>
      <c r="I7" s="5">
        <v>46211</v>
      </c>
      <c r="J7" s="4">
        <v>0.2</v>
      </c>
      <c r="K7" s="4" t="str" cm="1">
        <f t="array" ref="K7">_xlfn.IFS(Table1[[#This Row],[Years_of_Service]]&lt;=2, "0-2 Years", Table1[[#This Row],[Years_of_Service]]&lt;=5, "3-5 Years", Table1[[#This Row],[Years_of_Service]]&lt;=8, "6-8 Years", TRUE, "8 Years")</f>
        <v>0-2 Years</v>
      </c>
      <c r="L7" s="4" t="s">
        <v>31</v>
      </c>
      <c r="M7" s="4">
        <v>66.5</v>
      </c>
      <c r="N7" s="4">
        <v>98.4</v>
      </c>
      <c r="O7" s="4">
        <v>20</v>
      </c>
      <c r="P7" s="4">
        <v>5</v>
      </c>
      <c r="Q7" s="4" t="s">
        <v>32</v>
      </c>
      <c r="R7" s="5"/>
      <c r="S7" s="4" t="s">
        <v>44</v>
      </c>
    </row>
    <row r="8" spans="1:19" x14ac:dyDescent="0.3">
      <c r="A8" s="4">
        <v>7</v>
      </c>
      <c r="B8" s="4" t="s">
        <v>56</v>
      </c>
      <c r="C8" s="4" t="s">
        <v>28</v>
      </c>
      <c r="D8" s="4">
        <v>50</v>
      </c>
      <c r="E8" s="4" t="str" cm="1">
        <f t="array" ref="E8">_xlfn.IFS(Table1[[#This Row],[Age]]&lt;=30, "18-30",Table1[[#This Row],[Age]]&lt;=40, "31-40", Table1[[#This Row],[Age]]&lt;=50, "41-50", TRUE, "51-65")</f>
        <v>41-50</v>
      </c>
      <c r="F8" s="4" t="s">
        <v>29</v>
      </c>
      <c r="G8" s="4" t="s">
        <v>30</v>
      </c>
      <c r="H8" s="4">
        <v>43000</v>
      </c>
      <c r="I8" s="5">
        <v>45020</v>
      </c>
      <c r="J8" s="4">
        <v>3.5</v>
      </c>
      <c r="K8" s="4" t="str" cm="1">
        <f t="array" ref="K8">_xlfn.IFS(Table1[[#This Row],[Years_of_Service]]&lt;=2, "0-2 Years", Table1[[#This Row],[Years_of_Service]]&lt;=5, "3-5 Years", Table1[[#This Row],[Years_of_Service]]&lt;=8, "6-8 Years", TRUE, "8 Years")</f>
        <v>3-5 Years</v>
      </c>
      <c r="L8" s="4" t="s">
        <v>43</v>
      </c>
      <c r="M8" s="4">
        <v>84.6</v>
      </c>
      <c r="N8" s="4">
        <v>85.8</v>
      </c>
      <c r="O8" s="4">
        <v>7</v>
      </c>
      <c r="P8" s="4">
        <v>1</v>
      </c>
      <c r="Q8" s="4" t="s">
        <v>32</v>
      </c>
      <c r="R8" s="5"/>
      <c r="S8" s="4" t="s">
        <v>39</v>
      </c>
    </row>
    <row r="9" spans="1:19" x14ac:dyDescent="0.3">
      <c r="A9" s="4">
        <v>8</v>
      </c>
      <c r="B9" s="4" t="s">
        <v>57</v>
      </c>
      <c r="C9" s="4" t="s">
        <v>28</v>
      </c>
      <c r="D9" s="4">
        <v>34</v>
      </c>
      <c r="E9" s="4" t="str" cm="1">
        <f t="array" ref="E9">_xlfn.IFS(Table1[[#This Row],[Age]]&lt;=30, "18-30",Table1[[#This Row],[Age]]&lt;=40, "31-40", Table1[[#This Row],[Age]]&lt;=50, "41-50", TRUE, "51-65")</f>
        <v>31-40</v>
      </c>
      <c r="F9" s="4" t="s">
        <v>58</v>
      </c>
      <c r="G9" s="4" t="s">
        <v>59</v>
      </c>
      <c r="H9" s="4">
        <v>77000</v>
      </c>
      <c r="I9" s="5">
        <v>45789</v>
      </c>
      <c r="J9" s="4">
        <v>1.4</v>
      </c>
      <c r="K9" s="4" t="str" cm="1">
        <f t="array" ref="K9">_xlfn.IFS(Table1[[#This Row],[Years_of_Service]]&lt;=2, "0-2 Years", Table1[[#This Row],[Years_of_Service]]&lt;=5, "3-5 Years", Table1[[#This Row],[Years_of_Service]]&lt;=8, "6-8 Years", TRUE, "8 Years")</f>
        <v>0-2 Years</v>
      </c>
      <c r="L9" s="4" t="s">
        <v>53</v>
      </c>
      <c r="M9" s="4">
        <v>92.7</v>
      </c>
      <c r="N9" s="4">
        <v>87.5</v>
      </c>
      <c r="O9" s="4">
        <v>20</v>
      </c>
      <c r="P9" s="4">
        <v>14</v>
      </c>
      <c r="Q9" s="4" t="s">
        <v>32</v>
      </c>
      <c r="R9" s="5"/>
      <c r="S9" s="4" t="s">
        <v>60</v>
      </c>
    </row>
    <row r="10" spans="1:19" x14ac:dyDescent="0.3">
      <c r="A10" s="4">
        <v>9</v>
      </c>
      <c r="B10" s="4" t="s">
        <v>61</v>
      </c>
      <c r="C10" s="4" t="s">
        <v>28</v>
      </c>
      <c r="D10" s="4">
        <v>56</v>
      </c>
      <c r="E10" s="4" t="str" cm="1">
        <f t="array" ref="E10">_xlfn.IFS(Table1[[#This Row],[Age]]&lt;=30, "18-30",Table1[[#This Row],[Age]]&lt;=40, "31-40", Table1[[#This Row],[Age]]&lt;=50, "41-50", TRUE, "51-65")</f>
        <v>51-65</v>
      </c>
      <c r="F10" s="4" t="s">
        <v>47</v>
      </c>
      <c r="G10" s="4" t="s">
        <v>48</v>
      </c>
      <c r="H10" s="4">
        <v>43000</v>
      </c>
      <c r="I10" s="5">
        <v>45673</v>
      </c>
      <c r="J10" s="4">
        <v>1.7</v>
      </c>
      <c r="K10" s="4" t="str" cm="1">
        <f t="array" ref="K10">_xlfn.IFS(Table1[[#This Row],[Years_of_Service]]&lt;=2, "0-2 Years", Table1[[#This Row],[Years_of_Service]]&lt;=5, "3-5 Years", Table1[[#This Row],[Years_of_Service]]&lt;=8, "6-8 Years", TRUE, "8 Years")</f>
        <v>0-2 Years</v>
      </c>
      <c r="L10" s="4" t="s">
        <v>37</v>
      </c>
      <c r="M10" s="4">
        <v>93.6</v>
      </c>
      <c r="N10" s="4">
        <v>89</v>
      </c>
      <c r="O10" s="4">
        <v>16</v>
      </c>
      <c r="P10" s="4">
        <v>15</v>
      </c>
      <c r="Q10" s="4" t="s">
        <v>32</v>
      </c>
      <c r="R10" s="5"/>
      <c r="S10" s="4" t="s">
        <v>33</v>
      </c>
    </row>
    <row r="11" spans="1:19" x14ac:dyDescent="0.3">
      <c r="A11" s="4">
        <v>10</v>
      </c>
      <c r="B11" s="4" t="s">
        <v>62</v>
      </c>
      <c r="C11" s="4" t="s">
        <v>28</v>
      </c>
      <c r="D11" s="4">
        <v>30</v>
      </c>
      <c r="E11" s="4" t="str" cm="1">
        <f t="array" ref="E11">_xlfn.IFS(Table1[[#This Row],[Age]]&lt;=30, "18-30",Table1[[#This Row],[Age]]&lt;=40, "31-40", Table1[[#This Row],[Age]]&lt;=50, "41-50", TRUE, "51-65")</f>
        <v>18-30</v>
      </c>
      <c r="F11" s="4" t="s">
        <v>41</v>
      </c>
      <c r="G11" s="4" t="s">
        <v>42</v>
      </c>
      <c r="H11" s="4">
        <v>46000</v>
      </c>
      <c r="I11" s="5">
        <v>46036</v>
      </c>
      <c r="J11" s="4">
        <v>0.7</v>
      </c>
      <c r="K11" s="4" t="str" cm="1">
        <f t="array" ref="K11">_xlfn.IFS(Table1[[#This Row],[Years_of_Service]]&lt;=2, "0-2 Years", Table1[[#This Row],[Years_of_Service]]&lt;=5, "3-5 Years", Table1[[#This Row],[Years_of_Service]]&lt;=8, "6-8 Years", TRUE, "8 Years")</f>
        <v>0-2 Years</v>
      </c>
      <c r="L11" s="4" t="s">
        <v>53</v>
      </c>
      <c r="M11" s="4">
        <v>61.9</v>
      </c>
      <c r="N11" s="4">
        <v>93.9</v>
      </c>
      <c r="O11" s="4">
        <v>12</v>
      </c>
      <c r="P11" s="4">
        <v>14</v>
      </c>
      <c r="Q11" s="4" t="s">
        <v>38</v>
      </c>
      <c r="R11" s="5">
        <v>46236</v>
      </c>
      <c r="S11" s="4" t="s">
        <v>44</v>
      </c>
    </row>
    <row r="12" spans="1:19" x14ac:dyDescent="0.3">
      <c r="A12" s="4">
        <v>11</v>
      </c>
      <c r="B12" s="4" t="s">
        <v>63</v>
      </c>
      <c r="C12" s="4" t="s">
        <v>28</v>
      </c>
      <c r="D12" s="4">
        <v>28</v>
      </c>
      <c r="E12" s="4" t="str" cm="1">
        <f t="array" ref="E12">_xlfn.IFS(Table1[[#This Row],[Age]]&lt;=30, "18-30",Table1[[#This Row],[Age]]&lt;=40, "31-40", Table1[[#This Row],[Age]]&lt;=50, "41-50", TRUE, "51-65")</f>
        <v>18-30</v>
      </c>
      <c r="F12" s="4" t="s">
        <v>47</v>
      </c>
      <c r="G12" s="4" t="s">
        <v>64</v>
      </c>
      <c r="H12" s="4">
        <v>57000</v>
      </c>
      <c r="I12" s="5">
        <v>46258</v>
      </c>
      <c r="J12" s="4">
        <v>0.1</v>
      </c>
      <c r="K12" s="4" t="str" cm="1">
        <f t="array" ref="K12">_xlfn.IFS(Table1[[#This Row],[Years_of_Service]]&lt;=2, "0-2 Years", Table1[[#This Row],[Years_of_Service]]&lt;=5, "3-5 Years", Table1[[#This Row],[Years_of_Service]]&lt;=8, "6-8 Years", TRUE, "8 Years")</f>
        <v>0-2 Years</v>
      </c>
      <c r="L12" s="4" t="s">
        <v>53</v>
      </c>
      <c r="M12" s="4">
        <v>88</v>
      </c>
      <c r="N12" s="4">
        <v>88</v>
      </c>
      <c r="O12" s="4">
        <v>5</v>
      </c>
      <c r="P12" s="4">
        <v>14</v>
      </c>
      <c r="Q12" s="4" t="s">
        <v>32</v>
      </c>
      <c r="R12" s="5"/>
      <c r="S12" s="4" t="s">
        <v>33</v>
      </c>
    </row>
    <row r="13" spans="1:19" x14ac:dyDescent="0.3">
      <c r="A13" s="4">
        <v>12</v>
      </c>
      <c r="B13" s="4" t="s">
        <v>65</v>
      </c>
      <c r="C13" s="4" t="s">
        <v>46</v>
      </c>
      <c r="D13" s="4">
        <v>53</v>
      </c>
      <c r="E13" s="4" t="str" cm="1">
        <f t="array" ref="E13">_xlfn.IFS(Table1[[#This Row],[Age]]&lt;=30, "18-30",Table1[[#This Row],[Age]]&lt;=40, "31-40", Table1[[#This Row],[Age]]&lt;=50, "41-50", TRUE, "51-65")</f>
        <v>51-65</v>
      </c>
      <c r="F13" s="4" t="s">
        <v>29</v>
      </c>
      <c r="G13" s="4" t="s">
        <v>66</v>
      </c>
      <c r="H13" s="4">
        <v>34000</v>
      </c>
      <c r="I13" s="5">
        <v>44197</v>
      </c>
      <c r="J13" s="4">
        <v>5.8</v>
      </c>
      <c r="K13" s="4" t="str" cm="1">
        <f t="array" ref="K13">_xlfn.IFS(Table1[[#This Row],[Years_of_Service]]&lt;=2, "0-2 Years", Table1[[#This Row],[Years_of_Service]]&lt;=5, "3-5 Years", Table1[[#This Row],[Years_of_Service]]&lt;=8, "6-8 Years", TRUE, "8 Years")</f>
        <v>6-8 Years</v>
      </c>
      <c r="L13" s="4" t="s">
        <v>49</v>
      </c>
      <c r="M13" s="4">
        <v>76.8</v>
      </c>
      <c r="N13" s="4">
        <v>83.9</v>
      </c>
      <c r="O13" s="4">
        <v>16</v>
      </c>
      <c r="P13" s="4">
        <v>6</v>
      </c>
      <c r="Q13" s="4" t="s">
        <v>32</v>
      </c>
      <c r="R13" s="5"/>
      <c r="S13" s="4" t="s">
        <v>60</v>
      </c>
    </row>
    <row r="14" spans="1:19" x14ac:dyDescent="0.3">
      <c r="A14" s="4">
        <v>13</v>
      </c>
      <c r="B14" s="4" t="s">
        <v>67</v>
      </c>
      <c r="C14" s="4" t="s">
        <v>28</v>
      </c>
      <c r="D14" s="4">
        <v>41</v>
      </c>
      <c r="E14" s="4" t="str" cm="1">
        <f t="array" ref="E14">_xlfn.IFS(Table1[[#This Row],[Age]]&lt;=30, "18-30",Table1[[#This Row],[Age]]&lt;=40, "31-40", Table1[[#This Row],[Age]]&lt;=50, "41-50", TRUE, "51-65")</f>
        <v>41-50</v>
      </c>
      <c r="F14" s="4" t="s">
        <v>47</v>
      </c>
      <c r="G14" s="4" t="s">
        <v>48</v>
      </c>
      <c r="H14" s="4">
        <v>67000</v>
      </c>
      <c r="I14" s="5">
        <v>45467</v>
      </c>
      <c r="J14" s="4">
        <v>2.2999999999999998</v>
      </c>
      <c r="K14" s="4" t="str" cm="1">
        <f t="array" ref="K14">_xlfn.IFS(Table1[[#This Row],[Years_of_Service]]&lt;=2, "0-2 Years", Table1[[#This Row],[Years_of_Service]]&lt;=5, "3-5 Years", Table1[[#This Row],[Years_of_Service]]&lt;=8, "6-8 Years", TRUE, "8 Years")</f>
        <v>3-5 Years</v>
      </c>
      <c r="L14" s="4" t="s">
        <v>37</v>
      </c>
      <c r="M14" s="4">
        <v>92.8</v>
      </c>
      <c r="N14" s="4">
        <v>96.6</v>
      </c>
      <c r="O14" s="4">
        <v>1</v>
      </c>
      <c r="P14" s="4">
        <v>7</v>
      </c>
      <c r="Q14" s="4" t="s">
        <v>32</v>
      </c>
      <c r="R14" s="5"/>
      <c r="S14" s="4" t="s">
        <v>44</v>
      </c>
    </row>
    <row r="15" spans="1:19" x14ac:dyDescent="0.3">
      <c r="A15" s="4">
        <v>14</v>
      </c>
      <c r="B15" s="4" t="s">
        <v>68</v>
      </c>
      <c r="C15" s="4" t="s">
        <v>46</v>
      </c>
      <c r="D15" s="4">
        <v>25</v>
      </c>
      <c r="E15" s="4" t="str" cm="1">
        <f t="array" ref="E15">_xlfn.IFS(Table1[[#This Row],[Age]]&lt;=30, "18-30",Table1[[#This Row],[Age]]&lt;=40, "31-40", Table1[[#This Row],[Age]]&lt;=50, "41-50", TRUE, "51-65")</f>
        <v>18-30</v>
      </c>
      <c r="F15" s="4" t="s">
        <v>35</v>
      </c>
      <c r="G15" s="4" t="s">
        <v>69</v>
      </c>
      <c r="H15" s="4">
        <v>58000</v>
      </c>
      <c r="I15" s="5">
        <v>45647</v>
      </c>
      <c r="J15" s="4">
        <v>1.8</v>
      </c>
      <c r="K15" s="4" t="str" cm="1">
        <f t="array" ref="K15">_xlfn.IFS(Table1[[#This Row],[Years_of_Service]]&lt;=2, "0-2 Years", Table1[[#This Row],[Years_of_Service]]&lt;=5, "3-5 Years", Table1[[#This Row],[Years_of_Service]]&lt;=8, "6-8 Years", TRUE, "8 Years")</f>
        <v>0-2 Years</v>
      </c>
      <c r="L15" s="4" t="s">
        <v>31</v>
      </c>
      <c r="M15" s="4">
        <v>87.9</v>
      </c>
      <c r="N15" s="4">
        <v>84.2</v>
      </c>
      <c r="O15" s="4">
        <v>5</v>
      </c>
      <c r="P15" s="4">
        <v>8</v>
      </c>
      <c r="Q15" s="4" t="s">
        <v>32</v>
      </c>
      <c r="R15" s="5"/>
      <c r="S15" s="4" t="s">
        <v>44</v>
      </c>
    </row>
    <row r="16" spans="1:19" x14ac:dyDescent="0.3">
      <c r="A16" s="4">
        <v>15</v>
      </c>
      <c r="B16" s="4" t="s">
        <v>70</v>
      </c>
      <c r="C16" s="4" t="s">
        <v>46</v>
      </c>
      <c r="D16" s="4">
        <v>34</v>
      </c>
      <c r="E16" s="4" t="str" cm="1">
        <f t="array" ref="E16">_xlfn.IFS(Table1[[#This Row],[Age]]&lt;=30, "18-30",Table1[[#This Row],[Age]]&lt;=40, "31-40", Table1[[#This Row],[Age]]&lt;=50, "41-50", TRUE, "51-65")</f>
        <v>31-40</v>
      </c>
      <c r="F16" s="4" t="s">
        <v>41</v>
      </c>
      <c r="G16" s="4" t="s">
        <v>71</v>
      </c>
      <c r="H16" s="4">
        <v>36000</v>
      </c>
      <c r="I16" s="5">
        <v>45674</v>
      </c>
      <c r="J16" s="4">
        <v>1.7</v>
      </c>
      <c r="K16" s="4" t="str" cm="1">
        <f t="array" ref="K16">_xlfn.IFS(Table1[[#This Row],[Years_of_Service]]&lt;=2, "0-2 Years", Table1[[#This Row],[Years_of_Service]]&lt;=5, "3-5 Years", Table1[[#This Row],[Years_of_Service]]&lt;=8, "6-8 Years", TRUE, "8 Years")</f>
        <v>0-2 Years</v>
      </c>
      <c r="L16" s="4" t="s">
        <v>53</v>
      </c>
      <c r="M16" s="4">
        <v>85.7</v>
      </c>
      <c r="N16" s="4">
        <v>89</v>
      </c>
      <c r="O16" s="4">
        <v>16</v>
      </c>
      <c r="P16" s="4">
        <v>14</v>
      </c>
      <c r="Q16" s="4" t="s">
        <v>32</v>
      </c>
      <c r="R16" s="5"/>
      <c r="S16" s="4" t="s">
        <v>33</v>
      </c>
    </row>
    <row r="17" spans="1:19" x14ac:dyDescent="0.3">
      <c r="A17" s="4">
        <v>16</v>
      </c>
      <c r="B17" s="4" t="s">
        <v>72</v>
      </c>
      <c r="C17" s="4" t="s">
        <v>28</v>
      </c>
      <c r="D17" s="4">
        <v>42</v>
      </c>
      <c r="E17" s="4" t="str" cm="1">
        <f t="array" ref="E17">_xlfn.IFS(Table1[[#This Row],[Age]]&lt;=30, "18-30",Table1[[#This Row],[Age]]&lt;=40, "31-40", Table1[[#This Row],[Age]]&lt;=50, "41-50", TRUE, "51-65")</f>
        <v>41-50</v>
      </c>
      <c r="F17" s="4" t="s">
        <v>51</v>
      </c>
      <c r="G17" s="4" t="s">
        <v>73</v>
      </c>
      <c r="H17" s="4">
        <v>27000</v>
      </c>
      <c r="I17" s="5">
        <v>43552</v>
      </c>
      <c r="J17" s="4">
        <v>7.5</v>
      </c>
      <c r="K17" s="4" t="str" cm="1">
        <f t="array" ref="K17">_xlfn.IFS(Table1[[#This Row],[Years_of_Service]]&lt;=2, "0-2 Years", Table1[[#This Row],[Years_of_Service]]&lt;=5, "3-5 Years", Table1[[#This Row],[Years_of_Service]]&lt;=8, "6-8 Years", TRUE, "8 Years")</f>
        <v>6-8 Years</v>
      </c>
      <c r="L17" s="4" t="s">
        <v>43</v>
      </c>
      <c r="M17" s="4">
        <v>80.3</v>
      </c>
      <c r="N17" s="4">
        <v>86</v>
      </c>
      <c r="O17" s="4">
        <v>2</v>
      </c>
      <c r="P17" s="4">
        <v>1</v>
      </c>
      <c r="Q17" s="4" t="s">
        <v>32</v>
      </c>
      <c r="R17" s="5"/>
      <c r="S17" s="4" t="s">
        <v>60</v>
      </c>
    </row>
    <row r="18" spans="1:19" x14ac:dyDescent="0.3">
      <c r="A18" s="4">
        <v>17</v>
      </c>
      <c r="B18" s="4" t="s">
        <v>74</v>
      </c>
      <c r="C18" s="4" t="s">
        <v>46</v>
      </c>
      <c r="D18" s="4">
        <v>25</v>
      </c>
      <c r="E18" s="4" t="str" cm="1">
        <f t="array" ref="E18">_xlfn.IFS(Table1[[#This Row],[Age]]&lt;=30, "18-30",Table1[[#This Row],[Age]]&lt;=40, "31-40", Table1[[#This Row],[Age]]&lt;=50, "41-50", TRUE, "51-65")</f>
        <v>18-30</v>
      </c>
      <c r="F18" s="4" t="s">
        <v>35</v>
      </c>
      <c r="G18" s="4" t="s">
        <v>69</v>
      </c>
      <c r="H18" s="4">
        <v>56000</v>
      </c>
      <c r="I18" s="5">
        <v>45571</v>
      </c>
      <c r="J18" s="4">
        <v>2</v>
      </c>
      <c r="K18" s="4" t="str" cm="1">
        <f t="array" ref="K18">_xlfn.IFS(Table1[[#This Row],[Years_of_Service]]&lt;=2, "0-2 Years", Table1[[#This Row],[Years_of_Service]]&lt;=5, "3-5 Years", Table1[[#This Row],[Years_of_Service]]&lt;=8, "6-8 Years", TRUE, "8 Years")</f>
        <v>0-2 Years</v>
      </c>
      <c r="L18" s="4" t="s">
        <v>53</v>
      </c>
      <c r="M18" s="4">
        <v>64.2</v>
      </c>
      <c r="N18" s="4">
        <v>84.3</v>
      </c>
      <c r="O18" s="4">
        <v>7</v>
      </c>
      <c r="P18" s="4">
        <v>15</v>
      </c>
      <c r="Q18" s="4" t="s">
        <v>38</v>
      </c>
      <c r="R18" s="5">
        <v>45711</v>
      </c>
      <c r="S18" s="4" t="s">
        <v>75</v>
      </c>
    </row>
    <row r="19" spans="1:19" x14ac:dyDescent="0.3">
      <c r="A19" s="4">
        <v>18</v>
      </c>
      <c r="B19" s="4" t="s">
        <v>76</v>
      </c>
      <c r="C19" s="4" t="s">
        <v>28</v>
      </c>
      <c r="D19" s="4">
        <v>48</v>
      </c>
      <c r="E19" s="4" t="str" cm="1">
        <f t="array" ref="E19">_xlfn.IFS(Table1[[#This Row],[Age]]&lt;=30, "18-30",Table1[[#This Row],[Age]]&lt;=40, "31-40", Table1[[#This Row],[Age]]&lt;=50, "41-50", TRUE, "51-65")</f>
        <v>41-50</v>
      </c>
      <c r="F19" s="4" t="s">
        <v>51</v>
      </c>
      <c r="G19" s="4" t="s">
        <v>73</v>
      </c>
      <c r="H19" s="4">
        <v>55000</v>
      </c>
      <c r="I19" s="5">
        <v>44917</v>
      </c>
      <c r="J19" s="4">
        <v>3.8</v>
      </c>
      <c r="K19" s="4" t="str" cm="1">
        <f t="array" ref="K19">_xlfn.IFS(Table1[[#This Row],[Years_of_Service]]&lt;=2, "0-2 Years", Table1[[#This Row],[Years_of_Service]]&lt;=5, "3-5 Years", Table1[[#This Row],[Years_of_Service]]&lt;=8, "6-8 Years", TRUE, "8 Years")</f>
        <v>3-5 Years</v>
      </c>
      <c r="L19" s="4" t="s">
        <v>49</v>
      </c>
      <c r="M19" s="4">
        <v>73.2</v>
      </c>
      <c r="N19" s="4">
        <v>90.2</v>
      </c>
      <c r="O19" s="4">
        <v>20</v>
      </c>
      <c r="P19" s="4">
        <v>3</v>
      </c>
      <c r="Q19" s="4" t="s">
        <v>32</v>
      </c>
      <c r="R19" s="5"/>
      <c r="S19" s="4" t="s">
        <v>33</v>
      </c>
    </row>
    <row r="20" spans="1:19" x14ac:dyDescent="0.3">
      <c r="A20" s="4">
        <v>19</v>
      </c>
      <c r="B20" s="4" t="s">
        <v>77</v>
      </c>
      <c r="C20" s="4" t="s">
        <v>46</v>
      </c>
      <c r="D20" s="4">
        <v>27</v>
      </c>
      <c r="E20" s="4" t="str" cm="1">
        <f t="array" ref="E20">_xlfn.IFS(Table1[[#This Row],[Age]]&lt;=30, "18-30",Table1[[#This Row],[Age]]&lt;=40, "31-40", Table1[[#This Row],[Age]]&lt;=50, "41-50", TRUE, "51-65")</f>
        <v>18-30</v>
      </c>
      <c r="F20" s="4" t="s">
        <v>58</v>
      </c>
      <c r="G20" s="4" t="s">
        <v>78</v>
      </c>
      <c r="H20" s="4">
        <v>57000</v>
      </c>
      <c r="I20" s="5">
        <v>44484</v>
      </c>
      <c r="J20" s="4">
        <v>5</v>
      </c>
      <c r="K20" s="4" t="str" cm="1">
        <f t="array" ref="K20">_xlfn.IFS(Table1[[#This Row],[Years_of_Service]]&lt;=2, "0-2 Years", Table1[[#This Row],[Years_of_Service]]&lt;=5, "3-5 Years", Table1[[#This Row],[Years_of_Service]]&lt;=8, "6-8 Years", TRUE, "8 Years")</f>
        <v>3-5 Years</v>
      </c>
      <c r="L20" s="4" t="s">
        <v>37</v>
      </c>
      <c r="M20" s="4">
        <v>61</v>
      </c>
      <c r="N20" s="4">
        <v>85.2</v>
      </c>
      <c r="O20" s="4">
        <v>2</v>
      </c>
      <c r="P20" s="4">
        <v>14</v>
      </c>
      <c r="Q20" s="4" t="s">
        <v>32</v>
      </c>
      <c r="R20" s="5"/>
      <c r="S20" s="4" t="s">
        <v>44</v>
      </c>
    </row>
    <row r="21" spans="1:19" x14ac:dyDescent="0.3">
      <c r="A21" s="4">
        <v>20</v>
      </c>
      <c r="B21" s="4" t="s">
        <v>79</v>
      </c>
      <c r="C21" s="4" t="s">
        <v>28</v>
      </c>
      <c r="D21" s="4">
        <v>26</v>
      </c>
      <c r="E21" s="4" t="str" cm="1">
        <f t="array" ref="E21">_xlfn.IFS(Table1[[#This Row],[Age]]&lt;=30, "18-30",Table1[[#This Row],[Age]]&lt;=40, "31-40", Table1[[#This Row],[Age]]&lt;=50, "41-50", TRUE, "51-65")</f>
        <v>18-30</v>
      </c>
      <c r="F21" s="4" t="s">
        <v>35</v>
      </c>
      <c r="G21" s="4" t="s">
        <v>69</v>
      </c>
      <c r="H21" s="4">
        <v>69000</v>
      </c>
      <c r="I21" s="5">
        <v>44434</v>
      </c>
      <c r="J21" s="4">
        <v>5.0999999999999996</v>
      </c>
      <c r="K21" s="4" t="str" cm="1">
        <f t="array" ref="K21">_xlfn.IFS(Table1[[#This Row],[Years_of_Service]]&lt;=2, "0-2 Years", Table1[[#This Row],[Years_of_Service]]&lt;=5, "3-5 Years", Table1[[#This Row],[Years_of_Service]]&lt;=8, "6-8 Years", TRUE, "8 Years")</f>
        <v>6-8 Years</v>
      </c>
      <c r="L21" s="4" t="s">
        <v>53</v>
      </c>
      <c r="M21" s="4">
        <v>62.2</v>
      </c>
      <c r="N21" s="4">
        <v>90.5</v>
      </c>
      <c r="O21" s="4">
        <v>1</v>
      </c>
      <c r="P21" s="4">
        <v>5</v>
      </c>
      <c r="Q21" s="4" t="s">
        <v>32</v>
      </c>
      <c r="R21" s="5"/>
      <c r="S21" s="4" t="s">
        <v>75</v>
      </c>
    </row>
    <row r="22" spans="1:19" x14ac:dyDescent="0.3">
      <c r="A22" s="4">
        <v>21</v>
      </c>
      <c r="B22" s="4" t="s">
        <v>80</v>
      </c>
      <c r="C22" s="4" t="s">
        <v>46</v>
      </c>
      <c r="D22" s="4">
        <v>50</v>
      </c>
      <c r="E22" s="4" t="str" cm="1">
        <f t="array" ref="E22">_xlfn.IFS(Table1[[#This Row],[Age]]&lt;=30, "18-30",Table1[[#This Row],[Age]]&lt;=40, "31-40", Table1[[#This Row],[Age]]&lt;=50, "41-50", TRUE, "51-65")</f>
        <v>41-50</v>
      </c>
      <c r="F22" s="4" t="s">
        <v>35</v>
      </c>
      <c r="G22" s="4" t="s">
        <v>81</v>
      </c>
      <c r="H22" s="4">
        <v>28000</v>
      </c>
      <c r="I22" s="5">
        <v>44634</v>
      </c>
      <c r="J22" s="4">
        <v>4.5999999999999996</v>
      </c>
      <c r="K22" s="4" t="str" cm="1">
        <f t="array" ref="K22">_xlfn.IFS(Table1[[#This Row],[Years_of_Service]]&lt;=2, "0-2 Years", Table1[[#This Row],[Years_of_Service]]&lt;=5, "3-5 Years", Table1[[#This Row],[Years_of_Service]]&lt;=8, "6-8 Years", TRUE, "8 Years")</f>
        <v>3-5 Years</v>
      </c>
      <c r="L22" s="4" t="s">
        <v>37</v>
      </c>
      <c r="M22" s="4">
        <v>97.8</v>
      </c>
      <c r="N22" s="4">
        <v>91.7</v>
      </c>
      <c r="O22" s="4">
        <v>6</v>
      </c>
      <c r="P22" s="4">
        <v>9</v>
      </c>
      <c r="Q22" s="4" t="s">
        <v>32</v>
      </c>
      <c r="R22" s="5"/>
      <c r="S22" s="4" t="s">
        <v>60</v>
      </c>
    </row>
    <row r="23" spans="1:19" x14ac:dyDescent="0.3">
      <c r="A23" s="4">
        <v>22</v>
      </c>
      <c r="B23" s="4" t="s">
        <v>82</v>
      </c>
      <c r="C23" s="4" t="s">
        <v>46</v>
      </c>
      <c r="D23" s="4">
        <v>24</v>
      </c>
      <c r="E23" s="4" t="str" cm="1">
        <f t="array" ref="E23">_xlfn.IFS(Table1[[#This Row],[Age]]&lt;=30, "18-30",Table1[[#This Row],[Age]]&lt;=40, "31-40", Table1[[#This Row],[Age]]&lt;=50, "41-50", TRUE, "51-65")</f>
        <v>18-30</v>
      </c>
      <c r="F23" s="4" t="s">
        <v>35</v>
      </c>
      <c r="G23" s="4" t="s">
        <v>69</v>
      </c>
      <c r="H23" s="4">
        <v>69000</v>
      </c>
      <c r="I23" s="5">
        <v>43671</v>
      </c>
      <c r="J23" s="4">
        <v>7.2</v>
      </c>
      <c r="K23" s="4" t="str" cm="1">
        <f t="array" ref="K23">_xlfn.IFS(Table1[[#This Row],[Years_of_Service]]&lt;=2, "0-2 Years", Table1[[#This Row],[Years_of_Service]]&lt;=5, "3-5 Years", Table1[[#This Row],[Years_of_Service]]&lt;=8, "6-8 Years", TRUE, "8 Years")</f>
        <v>6-8 Years</v>
      </c>
      <c r="L23" s="4" t="s">
        <v>43</v>
      </c>
      <c r="M23" s="4">
        <v>80.099999999999994</v>
      </c>
      <c r="N23" s="4">
        <v>90.8</v>
      </c>
      <c r="O23" s="4">
        <v>16</v>
      </c>
      <c r="P23" s="4">
        <v>2</v>
      </c>
      <c r="Q23" s="4" t="s">
        <v>38</v>
      </c>
      <c r="R23" s="5">
        <v>46140</v>
      </c>
      <c r="S23" s="4" t="s">
        <v>60</v>
      </c>
    </row>
    <row r="24" spans="1:19" x14ac:dyDescent="0.3">
      <c r="A24" s="4">
        <v>23</v>
      </c>
      <c r="B24" s="4" t="s">
        <v>83</v>
      </c>
      <c r="C24" s="4" t="s">
        <v>28</v>
      </c>
      <c r="D24" s="4">
        <v>46</v>
      </c>
      <c r="E24" s="4" t="str" cm="1">
        <f t="array" ref="E24">_xlfn.IFS(Table1[[#This Row],[Age]]&lt;=30, "18-30",Table1[[#This Row],[Age]]&lt;=40, "31-40", Table1[[#This Row],[Age]]&lt;=50, "41-50", TRUE, "51-65")</f>
        <v>41-50</v>
      </c>
      <c r="F24" s="4" t="s">
        <v>35</v>
      </c>
      <c r="G24" s="4" t="s">
        <v>69</v>
      </c>
      <c r="H24" s="4">
        <v>69000</v>
      </c>
      <c r="I24" s="5">
        <v>43957</v>
      </c>
      <c r="J24" s="4">
        <v>6.4</v>
      </c>
      <c r="K24" s="4" t="str" cm="1">
        <f t="array" ref="K24">_xlfn.IFS(Table1[[#This Row],[Years_of_Service]]&lt;=2, "0-2 Years", Table1[[#This Row],[Years_of_Service]]&lt;=5, "3-5 Years", Table1[[#This Row],[Years_of_Service]]&lt;=8, "6-8 Years", TRUE, "8 Years")</f>
        <v>6-8 Years</v>
      </c>
      <c r="L24" s="4" t="s">
        <v>53</v>
      </c>
      <c r="M24" s="4">
        <v>79.900000000000006</v>
      </c>
      <c r="N24" s="4">
        <v>82.7</v>
      </c>
      <c r="O24" s="4">
        <v>21</v>
      </c>
      <c r="P24" s="4">
        <v>18</v>
      </c>
      <c r="Q24" s="4" t="s">
        <v>32</v>
      </c>
      <c r="R24" s="5"/>
      <c r="S24" s="4" t="s">
        <v>44</v>
      </c>
    </row>
    <row r="25" spans="1:19" x14ac:dyDescent="0.3">
      <c r="A25" s="4">
        <v>24</v>
      </c>
      <c r="B25" s="4" t="s">
        <v>84</v>
      </c>
      <c r="C25" s="4" t="s">
        <v>46</v>
      </c>
      <c r="D25" s="4">
        <v>34</v>
      </c>
      <c r="E25" s="4" t="str" cm="1">
        <f t="array" ref="E25">_xlfn.IFS(Table1[[#This Row],[Age]]&lt;=30, "18-30",Table1[[#This Row],[Age]]&lt;=40, "31-40", Table1[[#This Row],[Age]]&lt;=50, "41-50", TRUE, "51-65")</f>
        <v>31-40</v>
      </c>
      <c r="F25" s="4" t="s">
        <v>85</v>
      </c>
      <c r="G25" s="4" t="s">
        <v>86</v>
      </c>
      <c r="H25" s="4">
        <v>38000</v>
      </c>
      <c r="I25" s="5">
        <v>46209</v>
      </c>
      <c r="J25" s="4">
        <v>0.3</v>
      </c>
      <c r="K25" s="4" t="str" cm="1">
        <f t="array" ref="K25">_xlfn.IFS(Table1[[#This Row],[Years_of_Service]]&lt;=2, "0-2 Years", Table1[[#This Row],[Years_of_Service]]&lt;=5, "3-5 Years", Table1[[#This Row],[Years_of_Service]]&lt;=8, "6-8 Years", TRUE, "8 Years")</f>
        <v>0-2 Years</v>
      </c>
      <c r="L25" s="4" t="s">
        <v>37</v>
      </c>
      <c r="M25" s="4">
        <v>85.8</v>
      </c>
      <c r="N25" s="4">
        <v>86.2</v>
      </c>
      <c r="O25" s="4">
        <v>21</v>
      </c>
      <c r="P25" s="4">
        <v>9</v>
      </c>
      <c r="Q25" s="4" t="s">
        <v>32</v>
      </c>
      <c r="R25" s="5"/>
      <c r="S25" s="4" t="s">
        <v>75</v>
      </c>
    </row>
    <row r="26" spans="1:19" x14ac:dyDescent="0.3">
      <c r="A26" s="4">
        <v>25</v>
      </c>
      <c r="B26" s="4" t="s">
        <v>87</v>
      </c>
      <c r="C26" s="4" t="s">
        <v>28</v>
      </c>
      <c r="D26" s="4">
        <v>50</v>
      </c>
      <c r="E26" s="4" t="str" cm="1">
        <f t="array" ref="E26">_xlfn.IFS(Table1[[#This Row],[Age]]&lt;=30, "18-30",Table1[[#This Row],[Age]]&lt;=40, "31-40", Table1[[#This Row],[Age]]&lt;=50, "41-50", TRUE, "51-65")</f>
        <v>41-50</v>
      </c>
      <c r="F26" s="4" t="s">
        <v>47</v>
      </c>
      <c r="G26" s="4" t="s">
        <v>48</v>
      </c>
      <c r="H26" s="4">
        <v>77000</v>
      </c>
      <c r="I26" s="5">
        <v>46010</v>
      </c>
      <c r="J26" s="4">
        <v>0.8</v>
      </c>
      <c r="K26" s="4" t="str" cm="1">
        <f t="array" ref="K26">_xlfn.IFS(Table1[[#This Row],[Years_of_Service]]&lt;=2, "0-2 Years", Table1[[#This Row],[Years_of_Service]]&lt;=5, "3-5 Years", Table1[[#This Row],[Years_of_Service]]&lt;=8, "6-8 Years", TRUE, "8 Years")</f>
        <v>0-2 Years</v>
      </c>
      <c r="L26" s="4" t="s">
        <v>37</v>
      </c>
      <c r="M26" s="4">
        <v>58.2</v>
      </c>
      <c r="N26" s="4">
        <v>85.7</v>
      </c>
      <c r="O26" s="4">
        <v>11</v>
      </c>
      <c r="P26" s="4">
        <v>2</v>
      </c>
      <c r="Q26" s="4" t="s">
        <v>32</v>
      </c>
      <c r="R26" s="5"/>
      <c r="S26" s="4" t="s">
        <v>60</v>
      </c>
    </row>
    <row r="27" spans="1:19" x14ac:dyDescent="0.3">
      <c r="A27" s="4">
        <v>26</v>
      </c>
      <c r="B27" s="4" t="s">
        <v>88</v>
      </c>
      <c r="C27" s="4" t="s">
        <v>28</v>
      </c>
      <c r="D27" s="4">
        <v>49</v>
      </c>
      <c r="E27" s="4" t="str" cm="1">
        <f t="array" ref="E27">_xlfn.IFS(Table1[[#This Row],[Age]]&lt;=30, "18-30",Table1[[#This Row],[Age]]&lt;=40, "31-40", Table1[[#This Row],[Age]]&lt;=50, "41-50", TRUE, "51-65")</f>
        <v>41-50</v>
      </c>
      <c r="F27" s="4" t="s">
        <v>47</v>
      </c>
      <c r="G27" s="4" t="s">
        <v>89</v>
      </c>
      <c r="H27" s="4">
        <v>44000</v>
      </c>
      <c r="I27" s="5">
        <v>45691</v>
      </c>
      <c r="J27" s="4">
        <v>1.7</v>
      </c>
      <c r="K27" s="4" t="str" cm="1">
        <f t="array" ref="K27">_xlfn.IFS(Table1[[#This Row],[Years_of_Service]]&lt;=2, "0-2 Years", Table1[[#This Row],[Years_of_Service]]&lt;=5, "3-5 Years", Table1[[#This Row],[Years_of_Service]]&lt;=8, "6-8 Years", TRUE, "8 Years")</f>
        <v>0-2 Years</v>
      </c>
      <c r="L27" s="4" t="s">
        <v>49</v>
      </c>
      <c r="M27" s="4">
        <v>85.3</v>
      </c>
      <c r="N27" s="4">
        <v>92.7</v>
      </c>
      <c r="O27" s="4">
        <v>17</v>
      </c>
      <c r="P27" s="4">
        <v>9</v>
      </c>
      <c r="Q27" s="4" t="s">
        <v>38</v>
      </c>
      <c r="R27" s="5">
        <v>46293</v>
      </c>
      <c r="S27" s="4" t="s">
        <v>33</v>
      </c>
    </row>
    <row r="28" spans="1:19" x14ac:dyDescent="0.3">
      <c r="A28" s="4">
        <v>27</v>
      </c>
      <c r="B28" s="4" t="s">
        <v>90</v>
      </c>
      <c r="C28" s="4" t="s">
        <v>28</v>
      </c>
      <c r="D28" s="4">
        <v>27</v>
      </c>
      <c r="E28" s="4" t="str" cm="1">
        <f t="array" ref="E28">_xlfn.IFS(Table1[[#This Row],[Age]]&lt;=30, "18-30",Table1[[#This Row],[Age]]&lt;=40, "31-40", Table1[[#This Row],[Age]]&lt;=50, "41-50", TRUE, "51-65")</f>
        <v>18-30</v>
      </c>
      <c r="F28" s="4" t="s">
        <v>51</v>
      </c>
      <c r="G28" s="4" t="s">
        <v>55</v>
      </c>
      <c r="H28" s="4">
        <v>46000</v>
      </c>
      <c r="I28" s="5">
        <v>45732</v>
      </c>
      <c r="J28" s="4">
        <v>1.6</v>
      </c>
      <c r="K28" s="4" t="str" cm="1">
        <f t="array" ref="K28">_xlfn.IFS(Table1[[#This Row],[Years_of_Service]]&lt;=2, "0-2 Years", Table1[[#This Row],[Years_of_Service]]&lt;=5, "3-5 Years", Table1[[#This Row],[Years_of_Service]]&lt;=8, "6-8 Years", TRUE, "8 Years")</f>
        <v>0-2 Years</v>
      </c>
      <c r="L28" s="4" t="s">
        <v>31</v>
      </c>
      <c r="M28" s="4">
        <v>64.099999999999994</v>
      </c>
      <c r="N28" s="4">
        <v>88</v>
      </c>
      <c r="O28" s="4">
        <v>15</v>
      </c>
      <c r="P28" s="4">
        <v>8</v>
      </c>
      <c r="Q28" s="4" t="s">
        <v>32</v>
      </c>
      <c r="R28" s="5"/>
      <c r="S28" s="4" t="s">
        <v>33</v>
      </c>
    </row>
    <row r="29" spans="1:19" x14ac:dyDescent="0.3">
      <c r="A29" s="4">
        <v>28</v>
      </c>
      <c r="B29" s="4" t="s">
        <v>91</v>
      </c>
      <c r="C29" s="4" t="s">
        <v>46</v>
      </c>
      <c r="D29" s="4">
        <v>23</v>
      </c>
      <c r="E29" s="4" t="str" cm="1">
        <f t="array" ref="E29">_xlfn.IFS(Table1[[#This Row],[Age]]&lt;=30, "18-30",Table1[[#This Row],[Age]]&lt;=40, "31-40", Table1[[#This Row],[Age]]&lt;=50, "41-50", TRUE, "51-65")</f>
        <v>18-30</v>
      </c>
      <c r="F29" s="4" t="s">
        <v>35</v>
      </c>
      <c r="G29" s="4" t="s">
        <v>81</v>
      </c>
      <c r="H29" s="4">
        <v>63000</v>
      </c>
      <c r="I29" s="5">
        <v>43480</v>
      </c>
      <c r="J29" s="4">
        <v>7.7</v>
      </c>
      <c r="K29" s="4" t="str" cm="1">
        <f t="array" ref="K29">_xlfn.IFS(Table1[[#This Row],[Years_of_Service]]&lt;=2, "0-2 Years", Table1[[#This Row],[Years_of_Service]]&lt;=5, "3-5 Years", Table1[[#This Row],[Years_of_Service]]&lt;=8, "6-8 Years", TRUE, "8 Years")</f>
        <v>6-8 Years</v>
      </c>
      <c r="L29" s="4" t="s">
        <v>37</v>
      </c>
      <c r="M29" s="4">
        <v>69.3</v>
      </c>
      <c r="N29" s="4">
        <v>84.3</v>
      </c>
      <c r="O29" s="4">
        <v>23</v>
      </c>
      <c r="P29" s="4">
        <v>14</v>
      </c>
      <c r="Q29" s="4" t="s">
        <v>32</v>
      </c>
      <c r="R29" s="5"/>
      <c r="S29" s="4" t="s">
        <v>44</v>
      </c>
    </row>
    <row r="30" spans="1:19" x14ac:dyDescent="0.3">
      <c r="A30" s="4">
        <v>29</v>
      </c>
      <c r="B30" s="4" t="s">
        <v>92</v>
      </c>
      <c r="C30" s="4" t="s">
        <v>28</v>
      </c>
      <c r="D30" s="4">
        <v>28</v>
      </c>
      <c r="E30" s="4" t="str" cm="1">
        <f t="array" ref="E30">_xlfn.IFS(Table1[[#This Row],[Age]]&lt;=30, "18-30",Table1[[#This Row],[Age]]&lt;=40, "31-40", Table1[[#This Row],[Age]]&lt;=50, "41-50", TRUE, "51-65")</f>
        <v>18-30</v>
      </c>
      <c r="F30" s="4" t="s">
        <v>29</v>
      </c>
      <c r="G30" s="4" t="s">
        <v>93</v>
      </c>
      <c r="H30" s="4">
        <v>60000</v>
      </c>
      <c r="I30" s="5">
        <v>43774</v>
      </c>
      <c r="J30" s="4">
        <v>6.9</v>
      </c>
      <c r="K30" s="4" t="str" cm="1">
        <f t="array" ref="K30">_xlfn.IFS(Table1[[#This Row],[Years_of_Service]]&lt;=2, "0-2 Years", Table1[[#This Row],[Years_of_Service]]&lt;=5, "3-5 Years", Table1[[#This Row],[Years_of_Service]]&lt;=8, "6-8 Years", TRUE, "8 Years")</f>
        <v>6-8 Years</v>
      </c>
      <c r="L30" s="4" t="s">
        <v>31</v>
      </c>
      <c r="M30" s="4">
        <v>61.4</v>
      </c>
      <c r="N30" s="4">
        <v>82.6</v>
      </c>
      <c r="O30" s="4">
        <v>17</v>
      </c>
      <c r="P30" s="4">
        <v>4</v>
      </c>
      <c r="Q30" s="4" t="s">
        <v>32</v>
      </c>
      <c r="R30" s="5"/>
      <c r="S30" s="4" t="s">
        <v>75</v>
      </c>
    </row>
    <row r="31" spans="1:19" x14ac:dyDescent="0.3">
      <c r="A31" s="4">
        <v>30</v>
      </c>
      <c r="B31" s="4" t="s">
        <v>94</v>
      </c>
      <c r="C31" s="4" t="s">
        <v>46</v>
      </c>
      <c r="D31" s="4">
        <v>44</v>
      </c>
      <c r="E31" s="4" t="str" cm="1">
        <f t="array" ref="E31">_xlfn.IFS(Table1[[#This Row],[Age]]&lt;=30, "18-30",Table1[[#This Row],[Age]]&lt;=40, "31-40", Table1[[#This Row],[Age]]&lt;=50, "41-50", TRUE, "51-65")</f>
        <v>41-50</v>
      </c>
      <c r="F31" s="4" t="s">
        <v>51</v>
      </c>
      <c r="G31" s="4" t="s">
        <v>73</v>
      </c>
      <c r="H31" s="4">
        <v>37000</v>
      </c>
      <c r="I31" s="5">
        <v>43629</v>
      </c>
      <c r="J31" s="4">
        <v>7.3</v>
      </c>
      <c r="K31" s="4" t="str" cm="1">
        <f t="array" ref="K31">_xlfn.IFS(Table1[[#This Row],[Years_of_Service]]&lt;=2, "0-2 Years", Table1[[#This Row],[Years_of_Service]]&lt;=5, "3-5 Years", Table1[[#This Row],[Years_of_Service]]&lt;=8, "6-8 Years", TRUE, "8 Years")</f>
        <v>6-8 Years</v>
      </c>
      <c r="L31" s="4" t="s">
        <v>49</v>
      </c>
      <c r="M31" s="4">
        <v>93.7</v>
      </c>
      <c r="N31" s="4">
        <v>85.7</v>
      </c>
      <c r="O31" s="4">
        <v>3</v>
      </c>
      <c r="P31" s="4">
        <v>11</v>
      </c>
      <c r="Q31" s="4" t="s">
        <v>32</v>
      </c>
      <c r="R31" s="5"/>
      <c r="S31" s="4" t="s">
        <v>44</v>
      </c>
    </row>
    <row r="32" spans="1:19" x14ac:dyDescent="0.3">
      <c r="A32" s="4">
        <v>31</v>
      </c>
      <c r="B32" s="4" t="s">
        <v>95</v>
      </c>
      <c r="C32" s="4" t="s">
        <v>28</v>
      </c>
      <c r="D32" s="4">
        <v>36</v>
      </c>
      <c r="E32" s="4" t="str" cm="1">
        <f t="array" ref="E32">_xlfn.IFS(Table1[[#This Row],[Age]]&lt;=30, "18-30",Table1[[#This Row],[Age]]&lt;=40, "31-40", Table1[[#This Row],[Age]]&lt;=50, "41-50", TRUE, "51-65")</f>
        <v>31-40</v>
      </c>
      <c r="F32" s="4" t="s">
        <v>41</v>
      </c>
      <c r="G32" s="4" t="s">
        <v>96</v>
      </c>
      <c r="H32" s="4">
        <v>50000</v>
      </c>
      <c r="I32" s="5">
        <v>44131</v>
      </c>
      <c r="J32" s="4">
        <v>5.9</v>
      </c>
      <c r="K32" s="4" t="str" cm="1">
        <f t="array" ref="K32">_xlfn.IFS(Table1[[#This Row],[Years_of_Service]]&lt;=2, "0-2 Years", Table1[[#This Row],[Years_of_Service]]&lt;=5, "3-5 Years", Table1[[#This Row],[Years_of_Service]]&lt;=8, "6-8 Years", TRUE, "8 Years")</f>
        <v>6-8 Years</v>
      </c>
      <c r="L32" s="4" t="s">
        <v>53</v>
      </c>
      <c r="M32" s="4">
        <v>92.9</v>
      </c>
      <c r="N32" s="4">
        <v>82.4</v>
      </c>
      <c r="O32" s="4">
        <v>21</v>
      </c>
      <c r="P32" s="4">
        <v>7</v>
      </c>
      <c r="Q32" s="4" t="s">
        <v>32</v>
      </c>
      <c r="R32" s="5"/>
      <c r="S32" s="4" t="s">
        <v>39</v>
      </c>
    </row>
    <row r="33" spans="1:19" x14ac:dyDescent="0.3">
      <c r="A33" s="4">
        <v>32</v>
      </c>
      <c r="B33" s="4" t="s">
        <v>97</v>
      </c>
      <c r="C33" s="4" t="s">
        <v>28</v>
      </c>
      <c r="D33" s="4">
        <v>45</v>
      </c>
      <c r="E33" s="4" t="str" cm="1">
        <f t="array" ref="E33">_xlfn.IFS(Table1[[#This Row],[Age]]&lt;=30, "18-30",Table1[[#This Row],[Age]]&lt;=40, "31-40", Table1[[#This Row],[Age]]&lt;=50, "41-50", TRUE, "51-65")</f>
        <v>41-50</v>
      </c>
      <c r="F33" s="4" t="s">
        <v>51</v>
      </c>
      <c r="G33" s="4" t="s">
        <v>52</v>
      </c>
      <c r="H33" s="4">
        <v>39000</v>
      </c>
      <c r="I33" s="5">
        <v>43624</v>
      </c>
      <c r="J33" s="4">
        <v>7.3</v>
      </c>
      <c r="K33" s="4" t="str" cm="1">
        <f t="array" ref="K33">_xlfn.IFS(Table1[[#This Row],[Years_of_Service]]&lt;=2, "0-2 Years", Table1[[#This Row],[Years_of_Service]]&lt;=5, "3-5 Years", Table1[[#This Row],[Years_of_Service]]&lt;=8, "6-8 Years", TRUE, "8 Years")</f>
        <v>6-8 Years</v>
      </c>
      <c r="L33" s="4" t="s">
        <v>98</v>
      </c>
      <c r="M33" s="4">
        <v>91.9</v>
      </c>
      <c r="N33" s="4">
        <v>85.9</v>
      </c>
      <c r="O33" s="4">
        <v>9</v>
      </c>
      <c r="P33" s="4">
        <v>7</v>
      </c>
      <c r="Q33" s="4" t="s">
        <v>32</v>
      </c>
      <c r="R33" s="5"/>
      <c r="S33" s="4" t="s">
        <v>60</v>
      </c>
    </row>
    <row r="34" spans="1:19" x14ac:dyDescent="0.3">
      <c r="A34" s="4">
        <v>33</v>
      </c>
      <c r="B34" s="4" t="s">
        <v>99</v>
      </c>
      <c r="C34" s="4" t="s">
        <v>46</v>
      </c>
      <c r="D34" s="4">
        <v>42</v>
      </c>
      <c r="E34" s="4" t="str" cm="1">
        <f t="array" ref="E34">_xlfn.IFS(Table1[[#This Row],[Age]]&lt;=30, "18-30",Table1[[#This Row],[Age]]&lt;=40, "31-40", Table1[[#This Row],[Age]]&lt;=50, "41-50", TRUE, "51-65")</f>
        <v>41-50</v>
      </c>
      <c r="F34" s="4" t="s">
        <v>35</v>
      </c>
      <c r="G34" s="4" t="s">
        <v>36</v>
      </c>
      <c r="H34" s="4">
        <v>75000</v>
      </c>
      <c r="I34" s="5">
        <v>44607</v>
      </c>
      <c r="J34" s="4">
        <v>4.5999999999999996</v>
      </c>
      <c r="K34" s="4" t="str" cm="1">
        <f t="array" ref="K34">_xlfn.IFS(Table1[[#This Row],[Years_of_Service]]&lt;=2, "0-2 Years", Table1[[#This Row],[Years_of_Service]]&lt;=5, "3-5 Years", Table1[[#This Row],[Years_of_Service]]&lt;=8, "6-8 Years", TRUE, "8 Years")</f>
        <v>3-5 Years</v>
      </c>
      <c r="L34" s="4" t="s">
        <v>49</v>
      </c>
      <c r="M34" s="4">
        <v>67</v>
      </c>
      <c r="N34" s="4">
        <v>93.2</v>
      </c>
      <c r="O34" s="4">
        <v>17</v>
      </c>
      <c r="P34" s="4">
        <v>10</v>
      </c>
      <c r="Q34" s="4" t="s">
        <v>32</v>
      </c>
      <c r="R34" s="5"/>
      <c r="S34" s="4" t="s">
        <v>33</v>
      </c>
    </row>
    <row r="35" spans="1:19" x14ac:dyDescent="0.3">
      <c r="A35" s="4">
        <v>34</v>
      </c>
      <c r="B35" s="4" t="s">
        <v>100</v>
      </c>
      <c r="C35" s="4" t="s">
        <v>28</v>
      </c>
      <c r="D35" s="4">
        <v>58</v>
      </c>
      <c r="E35" s="4" t="str" cm="1">
        <f t="array" ref="E35">_xlfn.IFS(Table1[[#This Row],[Age]]&lt;=30, "18-30",Table1[[#This Row],[Age]]&lt;=40, "31-40", Table1[[#This Row],[Age]]&lt;=50, "41-50", TRUE, "51-65")</f>
        <v>51-65</v>
      </c>
      <c r="F35" s="4" t="s">
        <v>35</v>
      </c>
      <c r="G35" s="4" t="s">
        <v>101</v>
      </c>
      <c r="H35" s="4">
        <v>31000</v>
      </c>
      <c r="I35" s="5">
        <v>44553</v>
      </c>
      <c r="J35" s="4">
        <v>4.8</v>
      </c>
      <c r="K35" s="4" t="str" cm="1">
        <f t="array" ref="K35">_xlfn.IFS(Table1[[#This Row],[Years_of_Service]]&lt;=2, "0-2 Years", Table1[[#This Row],[Years_of_Service]]&lt;=5, "3-5 Years", Table1[[#This Row],[Years_of_Service]]&lt;=8, "6-8 Years", TRUE, "8 Years")</f>
        <v>3-5 Years</v>
      </c>
      <c r="L35" s="4" t="s">
        <v>49</v>
      </c>
      <c r="M35" s="4">
        <v>56.6</v>
      </c>
      <c r="N35" s="4">
        <v>92.4</v>
      </c>
      <c r="O35" s="4">
        <v>10</v>
      </c>
      <c r="P35" s="4">
        <v>13</v>
      </c>
      <c r="Q35" s="4" t="s">
        <v>32</v>
      </c>
      <c r="R35" s="5"/>
      <c r="S35" s="4" t="s">
        <v>44</v>
      </c>
    </row>
    <row r="36" spans="1:19" x14ac:dyDescent="0.3">
      <c r="A36" s="4">
        <v>35</v>
      </c>
      <c r="B36" s="4" t="s">
        <v>102</v>
      </c>
      <c r="C36" s="4" t="s">
        <v>46</v>
      </c>
      <c r="D36" s="4">
        <v>57</v>
      </c>
      <c r="E36" s="4" t="str" cm="1">
        <f t="array" ref="E36">_xlfn.IFS(Table1[[#This Row],[Age]]&lt;=30, "18-30",Table1[[#This Row],[Age]]&lt;=40, "31-40", Table1[[#This Row],[Age]]&lt;=50, "41-50", TRUE, "51-65")</f>
        <v>51-65</v>
      </c>
      <c r="F36" s="4" t="s">
        <v>85</v>
      </c>
      <c r="G36" s="4" t="s">
        <v>103</v>
      </c>
      <c r="H36" s="4">
        <v>42000</v>
      </c>
      <c r="I36" s="5">
        <v>44244</v>
      </c>
      <c r="J36" s="4">
        <v>5.6</v>
      </c>
      <c r="K36" s="4" t="str" cm="1">
        <f t="array" ref="K36">_xlfn.IFS(Table1[[#This Row],[Years_of_Service]]&lt;=2, "0-2 Years", Table1[[#This Row],[Years_of_Service]]&lt;=5, "3-5 Years", Table1[[#This Row],[Years_of_Service]]&lt;=8, "6-8 Years", TRUE, "8 Years")</f>
        <v>6-8 Years</v>
      </c>
      <c r="L36" s="4" t="s">
        <v>37</v>
      </c>
      <c r="M36" s="4">
        <v>55.1</v>
      </c>
      <c r="N36" s="4">
        <v>98.2</v>
      </c>
      <c r="O36" s="4">
        <v>11</v>
      </c>
      <c r="P36" s="4">
        <v>13</v>
      </c>
      <c r="Q36" s="4" t="s">
        <v>38</v>
      </c>
      <c r="R36" s="5">
        <v>45615</v>
      </c>
      <c r="S36" s="4" t="s">
        <v>33</v>
      </c>
    </row>
    <row r="37" spans="1:19" x14ac:dyDescent="0.3">
      <c r="A37" s="4">
        <v>36</v>
      </c>
      <c r="B37" s="4" t="s">
        <v>104</v>
      </c>
      <c r="C37" s="4" t="s">
        <v>46</v>
      </c>
      <c r="D37" s="4">
        <v>28</v>
      </c>
      <c r="E37" s="4" t="str" cm="1">
        <f t="array" ref="E37">_xlfn.IFS(Table1[[#This Row],[Age]]&lt;=30, "18-30",Table1[[#This Row],[Age]]&lt;=40, "31-40", Table1[[#This Row],[Age]]&lt;=50, "41-50", TRUE, "51-65")</f>
        <v>18-30</v>
      </c>
      <c r="F37" s="4" t="s">
        <v>29</v>
      </c>
      <c r="G37" s="4" t="s">
        <v>93</v>
      </c>
      <c r="H37" s="4">
        <v>61000</v>
      </c>
      <c r="I37" s="5">
        <v>44696</v>
      </c>
      <c r="J37" s="4">
        <v>4.4000000000000004</v>
      </c>
      <c r="K37" s="4" t="str" cm="1">
        <f t="array" ref="K37">_xlfn.IFS(Table1[[#This Row],[Years_of_Service]]&lt;=2, "0-2 Years", Table1[[#This Row],[Years_of_Service]]&lt;=5, "3-5 Years", Table1[[#This Row],[Years_of_Service]]&lt;=8, "6-8 Years", TRUE, "8 Years")</f>
        <v>3-5 Years</v>
      </c>
      <c r="L37" s="4" t="s">
        <v>53</v>
      </c>
      <c r="M37" s="4">
        <v>76.8</v>
      </c>
      <c r="N37" s="4">
        <v>93.7</v>
      </c>
      <c r="O37" s="4">
        <v>22</v>
      </c>
      <c r="P37" s="4">
        <v>9</v>
      </c>
      <c r="Q37" s="4" t="s">
        <v>32</v>
      </c>
      <c r="R37" s="5"/>
      <c r="S37" s="4" t="s">
        <v>44</v>
      </c>
    </row>
    <row r="38" spans="1:19" x14ac:dyDescent="0.3">
      <c r="A38" s="4">
        <v>37</v>
      </c>
      <c r="B38" s="4" t="s">
        <v>105</v>
      </c>
      <c r="C38" s="4" t="s">
        <v>46</v>
      </c>
      <c r="D38" s="4">
        <v>45</v>
      </c>
      <c r="E38" s="4" t="str" cm="1">
        <f t="array" ref="E38">_xlfn.IFS(Table1[[#This Row],[Age]]&lt;=30, "18-30",Table1[[#This Row],[Age]]&lt;=40, "31-40", Table1[[#This Row],[Age]]&lt;=50, "41-50", TRUE, "51-65")</f>
        <v>41-50</v>
      </c>
      <c r="F38" s="4" t="s">
        <v>51</v>
      </c>
      <c r="G38" s="4" t="s">
        <v>73</v>
      </c>
      <c r="H38" s="4">
        <v>41000</v>
      </c>
      <c r="I38" s="5">
        <v>46240</v>
      </c>
      <c r="J38" s="4">
        <v>0.2</v>
      </c>
      <c r="K38" s="4" t="str" cm="1">
        <f t="array" ref="K38">_xlfn.IFS(Table1[[#This Row],[Years_of_Service]]&lt;=2, "0-2 Years", Table1[[#This Row],[Years_of_Service]]&lt;=5, "3-5 Years", Table1[[#This Row],[Years_of_Service]]&lt;=8, "6-8 Years", TRUE, "8 Years")</f>
        <v>0-2 Years</v>
      </c>
      <c r="L38" s="4" t="s">
        <v>98</v>
      </c>
      <c r="M38" s="4">
        <v>79.5</v>
      </c>
      <c r="N38" s="4">
        <v>89.1</v>
      </c>
      <c r="O38" s="4">
        <v>9</v>
      </c>
      <c r="P38" s="4">
        <v>6</v>
      </c>
      <c r="Q38" s="4" t="s">
        <v>32</v>
      </c>
      <c r="R38" s="5"/>
      <c r="S38" s="4" t="s">
        <v>75</v>
      </c>
    </row>
    <row r="39" spans="1:19" x14ac:dyDescent="0.3">
      <c r="A39" s="4">
        <v>38</v>
      </c>
      <c r="B39" s="4" t="s">
        <v>106</v>
      </c>
      <c r="C39" s="4" t="s">
        <v>46</v>
      </c>
      <c r="D39" s="4">
        <v>50</v>
      </c>
      <c r="E39" s="4" t="str" cm="1">
        <f t="array" ref="E39">_xlfn.IFS(Table1[[#This Row],[Age]]&lt;=30, "18-30",Table1[[#This Row],[Age]]&lt;=40, "31-40", Table1[[#This Row],[Age]]&lt;=50, "41-50", TRUE, "51-65")</f>
        <v>41-50</v>
      </c>
      <c r="F39" s="4" t="s">
        <v>41</v>
      </c>
      <c r="G39" s="4" t="s">
        <v>71</v>
      </c>
      <c r="H39" s="4">
        <v>31000</v>
      </c>
      <c r="I39" s="5">
        <v>45275</v>
      </c>
      <c r="J39" s="4">
        <v>2.8</v>
      </c>
      <c r="K39" s="4" t="str" cm="1">
        <f t="array" ref="K39">_xlfn.IFS(Table1[[#This Row],[Years_of_Service]]&lt;=2, "0-2 Years", Table1[[#This Row],[Years_of_Service]]&lt;=5, "3-5 Years", Table1[[#This Row],[Years_of_Service]]&lt;=8, "6-8 Years", TRUE, "8 Years")</f>
        <v>3-5 Years</v>
      </c>
      <c r="L39" s="4" t="s">
        <v>49</v>
      </c>
      <c r="M39" s="4">
        <v>74</v>
      </c>
      <c r="N39" s="4">
        <v>85.7</v>
      </c>
      <c r="O39" s="4">
        <v>5</v>
      </c>
      <c r="P39" s="4">
        <v>2</v>
      </c>
      <c r="Q39" s="4" t="s">
        <v>32</v>
      </c>
      <c r="R39" s="5"/>
      <c r="S39" s="4" t="s">
        <v>39</v>
      </c>
    </row>
    <row r="40" spans="1:19" x14ac:dyDescent="0.3">
      <c r="A40" s="4">
        <v>39</v>
      </c>
      <c r="B40" s="4" t="s">
        <v>107</v>
      </c>
      <c r="C40" s="4" t="s">
        <v>46</v>
      </c>
      <c r="D40" s="4">
        <v>26</v>
      </c>
      <c r="E40" s="4" t="str" cm="1">
        <f t="array" ref="E40">_xlfn.IFS(Table1[[#This Row],[Age]]&lt;=30, "18-30",Table1[[#This Row],[Age]]&lt;=40, "31-40", Table1[[#This Row],[Age]]&lt;=50, "41-50", TRUE, "51-65")</f>
        <v>18-30</v>
      </c>
      <c r="F40" s="4" t="s">
        <v>85</v>
      </c>
      <c r="G40" s="4" t="s">
        <v>108</v>
      </c>
      <c r="H40" s="4">
        <v>39000</v>
      </c>
      <c r="I40" s="5">
        <v>44428</v>
      </c>
      <c r="J40" s="4">
        <v>5.0999999999999996</v>
      </c>
      <c r="K40" s="4" t="str" cm="1">
        <f t="array" ref="K40">_xlfn.IFS(Table1[[#This Row],[Years_of_Service]]&lt;=2, "0-2 Years", Table1[[#This Row],[Years_of_Service]]&lt;=5, "3-5 Years", Table1[[#This Row],[Years_of_Service]]&lt;=8, "6-8 Years", TRUE, "8 Years")</f>
        <v>6-8 Years</v>
      </c>
      <c r="L40" s="4" t="s">
        <v>53</v>
      </c>
      <c r="M40" s="4">
        <v>63.6</v>
      </c>
      <c r="N40" s="4">
        <v>82.4</v>
      </c>
      <c r="O40" s="4">
        <v>19</v>
      </c>
      <c r="P40" s="4">
        <v>2</v>
      </c>
      <c r="Q40" s="4" t="s">
        <v>32</v>
      </c>
      <c r="R40" s="5"/>
      <c r="S40" s="4" t="s">
        <v>75</v>
      </c>
    </row>
    <row r="41" spans="1:19" x14ac:dyDescent="0.3">
      <c r="A41" s="4">
        <v>40</v>
      </c>
      <c r="B41" s="4" t="s">
        <v>109</v>
      </c>
      <c r="C41" s="4" t="s">
        <v>28</v>
      </c>
      <c r="D41" s="4">
        <v>45</v>
      </c>
      <c r="E41" s="4" t="str" cm="1">
        <f t="array" ref="E41">_xlfn.IFS(Table1[[#This Row],[Age]]&lt;=30, "18-30",Table1[[#This Row],[Age]]&lt;=40, "31-40", Table1[[#This Row],[Age]]&lt;=50, "41-50", TRUE, "51-65")</f>
        <v>41-50</v>
      </c>
      <c r="F41" s="4" t="s">
        <v>58</v>
      </c>
      <c r="G41" s="4" t="s">
        <v>78</v>
      </c>
      <c r="H41" s="4">
        <v>44000</v>
      </c>
      <c r="I41" s="5">
        <v>45490</v>
      </c>
      <c r="J41" s="4">
        <v>2.2000000000000002</v>
      </c>
      <c r="K41" s="4" t="str" cm="1">
        <f t="array" ref="K41">_xlfn.IFS(Table1[[#This Row],[Years_of_Service]]&lt;=2, "0-2 Years", Table1[[#This Row],[Years_of_Service]]&lt;=5, "3-5 Years", Table1[[#This Row],[Years_of_Service]]&lt;=8, "6-8 Years", TRUE, "8 Years")</f>
        <v>3-5 Years</v>
      </c>
      <c r="L41" s="4" t="s">
        <v>43</v>
      </c>
      <c r="M41" s="4">
        <v>72.2</v>
      </c>
      <c r="N41" s="4">
        <v>84.6</v>
      </c>
      <c r="O41" s="4">
        <v>24</v>
      </c>
      <c r="P41" s="4">
        <v>13</v>
      </c>
      <c r="Q41" s="4" t="s">
        <v>32</v>
      </c>
      <c r="R41" s="5"/>
      <c r="S41" s="4" t="s">
        <v>60</v>
      </c>
    </row>
    <row r="42" spans="1:19" x14ac:dyDescent="0.3">
      <c r="A42" s="4">
        <v>41</v>
      </c>
      <c r="B42" s="4" t="s">
        <v>110</v>
      </c>
      <c r="C42" s="4" t="s">
        <v>46</v>
      </c>
      <c r="D42" s="4">
        <v>24</v>
      </c>
      <c r="E42" s="4" t="str" cm="1">
        <f t="array" ref="E42">_xlfn.IFS(Table1[[#This Row],[Age]]&lt;=30, "18-30",Table1[[#This Row],[Age]]&lt;=40, "31-40", Table1[[#This Row],[Age]]&lt;=50, "41-50", TRUE, "51-65")</f>
        <v>18-30</v>
      </c>
      <c r="F42" s="4" t="s">
        <v>51</v>
      </c>
      <c r="G42" s="4" t="s">
        <v>52</v>
      </c>
      <c r="H42" s="4">
        <v>42000</v>
      </c>
      <c r="I42" s="5">
        <v>45384</v>
      </c>
      <c r="J42" s="4">
        <v>1.5</v>
      </c>
      <c r="K42" s="4" t="str" cm="1">
        <f t="array" ref="K42">_xlfn.IFS(Table1[[#This Row],[Years_of_Service]]&lt;=2, "0-2 Years", Table1[[#This Row],[Years_of_Service]]&lt;=5, "3-5 Years", Table1[[#This Row],[Years_of_Service]]&lt;=8, "6-8 Years", TRUE, "8 Years")</f>
        <v>0-2 Years</v>
      </c>
      <c r="L42" s="4" t="s">
        <v>31</v>
      </c>
      <c r="M42" s="4">
        <v>74.599999999999994</v>
      </c>
      <c r="N42" s="4">
        <v>96</v>
      </c>
      <c r="O42" s="4">
        <v>10</v>
      </c>
      <c r="P42" s="4">
        <v>14</v>
      </c>
      <c r="Q42" s="4" t="s">
        <v>38</v>
      </c>
      <c r="R42" s="5">
        <v>45729</v>
      </c>
      <c r="S42" s="4" t="s">
        <v>44</v>
      </c>
    </row>
    <row r="43" spans="1:19" x14ac:dyDescent="0.3">
      <c r="A43" s="4">
        <v>42</v>
      </c>
      <c r="B43" s="4" t="s">
        <v>111</v>
      </c>
      <c r="C43" s="4" t="s">
        <v>46</v>
      </c>
      <c r="D43" s="4">
        <v>56</v>
      </c>
      <c r="E43" s="4" t="str" cm="1">
        <f t="array" ref="E43">_xlfn.IFS(Table1[[#This Row],[Age]]&lt;=30, "18-30",Table1[[#This Row],[Age]]&lt;=40, "31-40", Table1[[#This Row],[Age]]&lt;=50, "41-50", TRUE, "51-65")</f>
        <v>51-65</v>
      </c>
      <c r="F43" s="4" t="s">
        <v>41</v>
      </c>
      <c r="G43" s="4" t="s">
        <v>71</v>
      </c>
      <c r="H43" s="4">
        <v>51000</v>
      </c>
      <c r="I43" s="5">
        <v>45292</v>
      </c>
      <c r="J43" s="4">
        <v>2.8</v>
      </c>
      <c r="K43" s="4" t="str" cm="1">
        <f t="array" ref="K43">_xlfn.IFS(Table1[[#This Row],[Years_of_Service]]&lt;=2, "0-2 Years", Table1[[#This Row],[Years_of_Service]]&lt;=5, "3-5 Years", Table1[[#This Row],[Years_of_Service]]&lt;=8, "6-8 Years", TRUE, "8 Years")</f>
        <v>3-5 Years</v>
      </c>
      <c r="L43" s="4" t="s">
        <v>53</v>
      </c>
      <c r="M43" s="4">
        <v>93.6</v>
      </c>
      <c r="N43" s="4">
        <v>95</v>
      </c>
      <c r="O43" s="4">
        <v>8</v>
      </c>
      <c r="P43" s="4">
        <v>7</v>
      </c>
      <c r="Q43" s="4" t="s">
        <v>32</v>
      </c>
      <c r="R43" s="5"/>
      <c r="S43" s="4" t="s">
        <v>39</v>
      </c>
    </row>
    <row r="44" spans="1:19" x14ac:dyDescent="0.3">
      <c r="A44" s="4">
        <v>43</v>
      </c>
      <c r="B44" s="4" t="s">
        <v>112</v>
      </c>
      <c r="C44" s="4" t="s">
        <v>46</v>
      </c>
      <c r="D44" s="4">
        <v>36</v>
      </c>
      <c r="E44" s="4" t="str" cm="1">
        <f t="array" ref="E44">_xlfn.IFS(Table1[[#This Row],[Age]]&lt;=30, "18-30",Table1[[#This Row],[Age]]&lt;=40, "31-40", Table1[[#This Row],[Age]]&lt;=50, "41-50", TRUE, "51-65")</f>
        <v>31-40</v>
      </c>
      <c r="F44" s="4" t="s">
        <v>41</v>
      </c>
      <c r="G44" s="4" t="s">
        <v>71</v>
      </c>
      <c r="H44" s="4">
        <v>24000</v>
      </c>
      <c r="I44" s="5">
        <v>44590</v>
      </c>
      <c r="J44" s="4">
        <v>4.7</v>
      </c>
      <c r="K44" s="4" t="str" cm="1">
        <f t="array" ref="K44">_xlfn.IFS(Table1[[#This Row],[Years_of_Service]]&lt;=2, "0-2 Years", Table1[[#This Row],[Years_of_Service]]&lt;=5, "3-5 Years", Table1[[#This Row],[Years_of_Service]]&lt;=8, "6-8 Years", TRUE, "8 Years")</f>
        <v>3-5 Years</v>
      </c>
      <c r="L44" s="4" t="s">
        <v>37</v>
      </c>
      <c r="M44" s="4">
        <v>65.099999999999994</v>
      </c>
      <c r="N44" s="4">
        <v>87.9</v>
      </c>
      <c r="O44" s="4">
        <v>4</v>
      </c>
      <c r="P44" s="4">
        <v>7</v>
      </c>
      <c r="Q44" s="4" t="s">
        <v>38</v>
      </c>
      <c r="R44" s="5">
        <v>46219</v>
      </c>
      <c r="S44" s="4" t="s">
        <v>75</v>
      </c>
    </row>
    <row r="45" spans="1:19" x14ac:dyDescent="0.3">
      <c r="A45" s="4">
        <v>44</v>
      </c>
      <c r="B45" s="4" t="s">
        <v>113</v>
      </c>
      <c r="C45" s="4" t="s">
        <v>28</v>
      </c>
      <c r="D45" s="4">
        <v>25</v>
      </c>
      <c r="E45" s="4" t="str" cm="1">
        <f t="array" ref="E45">_xlfn.IFS(Table1[[#This Row],[Age]]&lt;=30, "18-30",Table1[[#This Row],[Age]]&lt;=40, "31-40", Table1[[#This Row],[Age]]&lt;=50, "41-50", TRUE, "51-65")</f>
        <v>18-30</v>
      </c>
      <c r="F45" s="4" t="s">
        <v>29</v>
      </c>
      <c r="G45" s="4" t="s">
        <v>30</v>
      </c>
      <c r="H45" s="4">
        <v>51000</v>
      </c>
      <c r="I45" s="5">
        <v>45165</v>
      </c>
      <c r="J45" s="4">
        <v>3.1</v>
      </c>
      <c r="K45" s="4" t="str" cm="1">
        <f t="array" ref="K45">_xlfn.IFS(Table1[[#This Row],[Years_of_Service]]&lt;=2, "0-2 Years", Table1[[#This Row],[Years_of_Service]]&lt;=5, "3-5 Years", Table1[[#This Row],[Years_of_Service]]&lt;=8, "6-8 Years", TRUE, "8 Years")</f>
        <v>3-5 Years</v>
      </c>
      <c r="L45" s="4" t="s">
        <v>43</v>
      </c>
      <c r="M45" s="4">
        <v>72.5</v>
      </c>
      <c r="N45" s="4">
        <v>91.5</v>
      </c>
      <c r="O45" s="4">
        <v>6</v>
      </c>
      <c r="P45" s="4">
        <v>13</v>
      </c>
      <c r="Q45" s="4" t="s">
        <v>32</v>
      </c>
      <c r="R45" s="5"/>
      <c r="S45" s="4" t="s">
        <v>75</v>
      </c>
    </row>
    <row r="46" spans="1:19" x14ac:dyDescent="0.3">
      <c r="A46" s="4">
        <v>45</v>
      </c>
      <c r="B46" s="4" t="s">
        <v>114</v>
      </c>
      <c r="C46" s="4" t="s">
        <v>28</v>
      </c>
      <c r="D46" s="4">
        <v>57</v>
      </c>
      <c r="E46" s="4" t="str" cm="1">
        <f t="array" ref="E46">_xlfn.IFS(Table1[[#This Row],[Age]]&lt;=30, "18-30",Table1[[#This Row],[Age]]&lt;=40, "31-40", Table1[[#This Row],[Age]]&lt;=50, "41-50", TRUE, "51-65")</f>
        <v>51-65</v>
      </c>
      <c r="F46" s="4" t="s">
        <v>41</v>
      </c>
      <c r="G46" s="4" t="s">
        <v>71</v>
      </c>
      <c r="H46" s="4">
        <v>18000</v>
      </c>
      <c r="I46" s="5">
        <v>45024</v>
      </c>
      <c r="J46" s="4">
        <v>3.5</v>
      </c>
      <c r="K46" s="4" t="str" cm="1">
        <f t="array" ref="K46">_xlfn.IFS(Table1[[#This Row],[Years_of_Service]]&lt;=2, "0-2 Years", Table1[[#This Row],[Years_of_Service]]&lt;=5, "3-5 Years", Table1[[#This Row],[Years_of_Service]]&lt;=8, "6-8 Years", TRUE, "8 Years")</f>
        <v>3-5 Years</v>
      </c>
      <c r="L46" s="4" t="s">
        <v>31</v>
      </c>
      <c r="M46" s="4">
        <v>67.8</v>
      </c>
      <c r="N46" s="4">
        <v>88.8</v>
      </c>
      <c r="O46" s="4">
        <v>23</v>
      </c>
      <c r="P46" s="4">
        <v>17</v>
      </c>
      <c r="Q46" s="4" t="s">
        <v>32</v>
      </c>
      <c r="R46" s="5"/>
      <c r="S46" s="4" t="s">
        <v>44</v>
      </c>
    </row>
    <row r="47" spans="1:19" x14ac:dyDescent="0.3">
      <c r="A47" s="4">
        <v>46</v>
      </c>
      <c r="B47" s="4" t="s">
        <v>115</v>
      </c>
      <c r="C47" s="4" t="s">
        <v>28</v>
      </c>
      <c r="D47" s="4">
        <v>38</v>
      </c>
      <c r="E47" s="4" t="str" cm="1">
        <f t="array" ref="E47">_xlfn.IFS(Table1[[#This Row],[Age]]&lt;=30, "18-30",Table1[[#This Row],[Age]]&lt;=40, "31-40", Table1[[#This Row],[Age]]&lt;=50, "41-50", TRUE, "51-65")</f>
        <v>31-40</v>
      </c>
      <c r="F47" s="4" t="s">
        <v>51</v>
      </c>
      <c r="G47" s="4" t="s">
        <v>55</v>
      </c>
      <c r="H47" s="4">
        <v>45000</v>
      </c>
      <c r="I47" s="5">
        <v>45251</v>
      </c>
      <c r="J47" s="4">
        <v>2.9</v>
      </c>
      <c r="K47" s="4" t="str" cm="1">
        <f t="array" ref="K47">_xlfn.IFS(Table1[[#This Row],[Years_of_Service]]&lt;=2, "0-2 Years", Table1[[#This Row],[Years_of_Service]]&lt;=5, "3-5 Years", Table1[[#This Row],[Years_of_Service]]&lt;=8, "6-8 Years", TRUE, "8 Years")</f>
        <v>3-5 Years</v>
      </c>
      <c r="L47" s="4" t="s">
        <v>49</v>
      </c>
      <c r="M47" s="4">
        <v>75.900000000000006</v>
      </c>
      <c r="N47" s="4">
        <v>88.8</v>
      </c>
      <c r="O47" s="4">
        <v>5</v>
      </c>
      <c r="P47" s="4">
        <v>14</v>
      </c>
      <c r="Q47" s="4" t="s">
        <v>32</v>
      </c>
      <c r="R47" s="5"/>
      <c r="S47" s="4" t="s">
        <v>60</v>
      </c>
    </row>
    <row r="48" spans="1:19" x14ac:dyDescent="0.3">
      <c r="A48" s="4">
        <v>47</v>
      </c>
      <c r="B48" s="4" t="s">
        <v>116</v>
      </c>
      <c r="C48" s="4" t="s">
        <v>28</v>
      </c>
      <c r="D48" s="4">
        <v>46</v>
      </c>
      <c r="E48" s="4" t="str" cm="1">
        <f t="array" ref="E48">_xlfn.IFS(Table1[[#This Row],[Age]]&lt;=30, "18-30",Table1[[#This Row],[Age]]&lt;=40, "31-40", Table1[[#This Row],[Age]]&lt;=50, "41-50", TRUE, "51-65")</f>
        <v>41-50</v>
      </c>
      <c r="F48" s="4" t="s">
        <v>85</v>
      </c>
      <c r="G48" s="4" t="s">
        <v>108</v>
      </c>
      <c r="H48" s="4">
        <v>40000</v>
      </c>
      <c r="I48" s="5">
        <v>45890</v>
      </c>
      <c r="J48" s="4">
        <v>1.1000000000000001</v>
      </c>
      <c r="K48" s="4" t="str" cm="1">
        <f t="array" ref="K48">_xlfn.IFS(Table1[[#This Row],[Years_of_Service]]&lt;=2, "0-2 Years", Table1[[#This Row],[Years_of_Service]]&lt;=5, "3-5 Years", Table1[[#This Row],[Years_of_Service]]&lt;=8, "6-8 Years", TRUE, "8 Years")</f>
        <v>0-2 Years</v>
      </c>
      <c r="L48" s="4" t="s">
        <v>37</v>
      </c>
      <c r="M48" s="4">
        <v>82.6</v>
      </c>
      <c r="N48" s="4">
        <v>84.4</v>
      </c>
      <c r="O48" s="4">
        <v>1</v>
      </c>
      <c r="P48" s="4">
        <v>8</v>
      </c>
      <c r="Q48" s="4" t="s">
        <v>32</v>
      </c>
      <c r="R48" s="5"/>
      <c r="S48" s="4" t="s">
        <v>75</v>
      </c>
    </row>
    <row r="49" spans="1:19" x14ac:dyDescent="0.3">
      <c r="A49" s="4">
        <v>48</v>
      </c>
      <c r="B49" s="4" t="s">
        <v>117</v>
      </c>
      <c r="C49" s="4" t="s">
        <v>46</v>
      </c>
      <c r="D49" s="4">
        <v>41</v>
      </c>
      <c r="E49" s="4" t="str" cm="1">
        <f t="array" ref="E49">_xlfn.IFS(Table1[[#This Row],[Age]]&lt;=30, "18-30",Table1[[#This Row],[Age]]&lt;=40, "31-40", Table1[[#This Row],[Age]]&lt;=50, "41-50", TRUE, "51-65")</f>
        <v>41-50</v>
      </c>
      <c r="F49" s="4" t="s">
        <v>47</v>
      </c>
      <c r="G49" s="4" t="s">
        <v>48</v>
      </c>
      <c r="H49" s="4">
        <v>44000</v>
      </c>
      <c r="I49" s="5">
        <v>44848</v>
      </c>
      <c r="J49" s="4">
        <v>4</v>
      </c>
      <c r="K49" s="4" t="str" cm="1">
        <f t="array" ref="K49">_xlfn.IFS(Table1[[#This Row],[Years_of_Service]]&lt;=2, "0-2 Years", Table1[[#This Row],[Years_of_Service]]&lt;=5, "3-5 Years", Table1[[#This Row],[Years_of_Service]]&lt;=8, "6-8 Years", TRUE, "8 Years")</f>
        <v>3-5 Years</v>
      </c>
      <c r="L49" s="4" t="s">
        <v>98</v>
      </c>
      <c r="M49" s="4">
        <v>87.7</v>
      </c>
      <c r="N49" s="4">
        <v>88.6</v>
      </c>
      <c r="O49" s="4">
        <v>2</v>
      </c>
      <c r="P49" s="4">
        <v>15</v>
      </c>
      <c r="Q49" s="4" t="s">
        <v>32</v>
      </c>
      <c r="R49" s="5"/>
      <c r="S49" s="4" t="s">
        <v>33</v>
      </c>
    </row>
    <row r="50" spans="1:19" x14ac:dyDescent="0.3">
      <c r="A50" s="4">
        <v>49</v>
      </c>
      <c r="B50" s="4" t="s">
        <v>118</v>
      </c>
      <c r="C50" s="4" t="s">
        <v>28</v>
      </c>
      <c r="D50" s="4">
        <v>43</v>
      </c>
      <c r="E50" s="4" t="str" cm="1">
        <f t="array" ref="E50">_xlfn.IFS(Table1[[#This Row],[Age]]&lt;=30, "18-30",Table1[[#This Row],[Age]]&lt;=40, "31-40", Table1[[#This Row],[Age]]&lt;=50, "41-50", TRUE, "51-65")</f>
        <v>41-50</v>
      </c>
      <c r="F50" s="4" t="s">
        <v>29</v>
      </c>
      <c r="G50" s="4" t="s">
        <v>66</v>
      </c>
      <c r="H50" s="4">
        <v>35000</v>
      </c>
      <c r="I50" s="5">
        <v>44384</v>
      </c>
      <c r="J50" s="4">
        <v>5.3</v>
      </c>
      <c r="K50" s="4" t="str" cm="1">
        <f t="array" ref="K50">_xlfn.IFS(Table1[[#This Row],[Years_of_Service]]&lt;=2, "0-2 Years", Table1[[#This Row],[Years_of_Service]]&lt;=5, "3-5 Years", Table1[[#This Row],[Years_of_Service]]&lt;=8, "6-8 Years", TRUE, "8 Years")</f>
        <v>6-8 Years</v>
      </c>
      <c r="L50" s="4" t="s">
        <v>37</v>
      </c>
      <c r="M50" s="4">
        <v>83</v>
      </c>
      <c r="N50" s="4">
        <v>95.2</v>
      </c>
      <c r="O50" s="4">
        <v>0</v>
      </c>
      <c r="P50" s="4">
        <v>4</v>
      </c>
      <c r="Q50" s="4" t="s">
        <v>32</v>
      </c>
      <c r="R50" s="5"/>
      <c r="S50" s="4" t="s">
        <v>60</v>
      </c>
    </row>
    <row r="51" spans="1:19" x14ac:dyDescent="0.3">
      <c r="A51" s="4">
        <v>50</v>
      </c>
      <c r="B51" s="4" t="s">
        <v>119</v>
      </c>
      <c r="C51" s="4" t="s">
        <v>28</v>
      </c>
      <c r="D51" s="4">
        <v>57</v>
      </c>
      <c r="E51" s="4" t="str" cm="1">
        <f t="array" ref="E51">_xlfn.IFS(Table1[[#This Row],[Age]]&lt;=30, "18-30",Table1[[#This Row],[Age]]&lt;=40, "31-40", Table1[[#This Row],[Age]]&lt;=50, "41-50", TRUE, "51-65")</f>
        <v>51-65</v>
      </c>
      <c r="F51" s="4" t="s">
        <v>51</v>
      </c>
      <c r="G51" s="4" t="s">
        <v>55</v>
      </c>
      <c r="H51" s="4">
        <v>28000</v>
      </c>
      <c r="I51" s="5">
        <v>44358</v>
      </c>
      <c r="J51" s="4">
        <v>5.3</v>
      </c>
      <c r="K51" s="4" t="str" cm="1">
        <f t="array" ref="K51">_xlfn.IFS(Table1[[#This Row],[Years_of_Service]]&lt;=2, "0-2 Years", Table1[[#This Row],[Years_of_Service]]&lt;=5, "3-5 Years", Table1[[#This Row],[Years_of_Service]]&lt;=8, "6-8 Years", TRUE, "8 Years")</f>
        <v>6-8 Years</v>
      </c>
      <c r="L51" s="4" t="s">
        <v>37</v>
      </c>
      <c r="M51" s="4">
        <v>75</v>
      </c>
      <c r="N51" s="4">
        <v>86.5</v>
      </c>
      <c r="O51" s="4">
        <v>19</v>
      </c>
      <c r="P51" s="4">
        <v>3</v>
      </c>
      <c r="Q51" s="4" t="s">
        <v>32</v>
      </c>
      <c r="R51" s="5"/>
      <c r="S51" s="4" t="s">
        <v>60</v>
      </c>
    </row>
    <row r="52" spans="1:19" x14ac:dyDescent="0.3">
      <c r="A52" s="4">
        <v>51</v>
      </c>
      <c r="B52" s="4" t="s">
        <v>120</v>
      </c>
      <c r="C52" s="4" t="s">
        <v>28</v>
      </c>
      <c r="D52" s="4">
        <v>40</v>
      </c>
      <c r="E52" s="4" t="str" cm="1">
        <f t="array" ref="E52">_xlfn.IFS(Table1[[#This Row],[Age]]&lt;=30, "18-30",Table1[[#This Row],[Age]]&lt;=40, "31-40", Table1[[#This Row],[Age]]&lt;=50, "41-50", TRUE, "51-65")</f>
        <v>31-40</v>
      </c>
      <c r="F52" s="4" t="s">
        <v>47</v>
      </c>
      <c r="G52" s="4" t="s">
        <v>48</v>
      </c>
      <c r="H52" s="4">
        <v>34000</v>
      </c>
      <c r="I52" s="5">
        <v>45824</v>
      </c>
      <c r="J52" s="4">
        <v>1.3</v>
      </c>
      <c r="K52" s="4" t="str" cm="1">
        <f t="array" ref="K52">_xlfn.IFS(Table1[[#This Row],[Years_of_Service]]&lt;=2, "0-2 Years", Table1[[#This Row],[Years_of_Service]]&lt;=5, "3-5 Years", Table1[[#This Row],[Years_of_Service]]&lt;=8, "6-8 Years", TRUE, "8 Years")</f>
        <v>0-2 Years</v>
      </c>
      <c r="L52" s="4" t="s">
        <v>31</v>
      </c>
      <c r="M52" s="4">
        <v>72.099999999999994</v>
      </c>
      <c r="N52" s="4">
        <v>94.5</v>
      </c>
      <c r="O52" s="4">
        <v>22</v>
      </c>
      <c r="P52" s="4">
        <v>7</v>
      </c>
      <c r="Q52" s="4" t="s">
        <v>32</v>
      </c>
      <c r="R52" s="5"/>
      <c r="S52" s="4" t="s">
        <v>33</v>
      </c>
    </row>
    <row r="53" spans="1:19" x14ac:dyDescent="0.3">
      <c r="A53" s="4">
        <v>52</v>
      </c>
      <c r="B53" s="4" t="s">
        <v>121</v>
      </c>
      <c r="C53" s="4" t="s">
        <v>28</v>
      </c>
      <c r="D53" s="4">
        <v>57</v>
      </c>
      <c r="E53" s="4" t="str" cm="1">
        <f t="array" ref="E53">_xlfn.IFS(Table1[[#This Row],[Age]]&lt;=30, "18-30",Table1[[#This Row],[Age]]&lt;=40, "31-40", Table1[[#This Row],[Age]]&lt;=50, "41-50", TRUE, "51-65")</f>
        <v>51-65</v>
      </c>
      <c r="F53" s="4" t="s">
        <v>29</v>
      </c>
      <c r="G53" s="4" t="s">
        <v>93</v>
      </c>
      <c r="H53" s="4">
        <v>23000</v>
      </c>
      <c r="I53" s="5">
        <v>43634</v>
      </c>
      <c r="J53" s="4">
        <v>7.3</v>
      </c>
      <c r="K53" s="4" t="str" cm="1">
        <f t="array" ref="K53">_xlfn.IFS(Table1[[#This Row],[Years_of_Service]]&lt;=2, "0-2 Years", Table1[[#This Row],[Years_of_Service]]&lt;=5, "3-5 Years", Table1[[#This Row],[Years_of_Service]]&lt;=8, "6-8 Years", TRUE, "8 Years")</f>
        <v>6-8 Years</v>
      </c>
      <c r="L53" s="4" t="s">
        <v>43</v>
      </c>
      <c r="M53" s="4">
        <v>69.900000000000006</v>
      </c>
      <c r="N53" s="4">
        <v>89.5</v>
      </c>
      <c r="O53" s="4">
        <v>16</v>
      </c>
      <c r="P53" s="4">
        <v>10</v>
      </c>
      <c r="Q53" s="4" t="s">
        <v>32</v>
      </c>
      <c r="R53" s="5"/>
      <c r="S53" s="4" t="s">
        <v>33</v>
      </c>
    </row>
    <row r="54" spans="1:19" x14ac:dyDescent="0.3">
      <c r="A54" s="4">
        <v>53</v>
      </c>
      <c r="B54" s="4" t="s">
        <v>122</v>
      </c>
      <c r="C54" s="4" t="s">
        <v>46</v>
      </c>
      <c r="D54" s="4">
        <v>27</v>
      </c>
      <c r="E54" s="4" t="str" cm="1">
        <f t="array" ref="E54">_xlfn.IFS(Table1[[#This Row],[Age]]&lt;=30, "18-30",Table1[[#This Row],[Age]]&lt;=40, "31-40", Table1[[#This Row],[Age]]&lt;=50, "41-50", TRUE, "51-65")</f>
        <v>18-30</v>
      </c>
      <c r="F54" s="4" t="s">
        <v>41</v>
      </c>
      <c r="G54" s="4" t="s">
        <v>96</v>
      </c>
      <c r="H54" s="4">
        <v>46000</v>
      </c>
      <c r="I54" s="5">
        <v>45241</v>
      </c>
      <c r="J54" s="4">
        <v>2.9</v>
      </c>
      <c r="K54" s="4" t="str" cm="1">
        <f t="array" ref="K54">_xlfn.IFS(Table1[[#This Row],[Years_of_Service]]&lt;=2, "0-2 Years", Table1[[#This Row],[Years_of_Service]]&lt;=5, "3-5 Years", Table1[[#This Row],[Years_of_Service]]&lt;=8, "6-8 Years", TRUE, "8 Years")</f>
        <v>3-5 Years</v>
      </c>
      <c r="L54" s="4" t="s">
        <v>37</v>
      </c>
      <c r="M54" s="4">
        <v>90.6</v>
      </c>
      <c r="N54" s="4">
        <v>94.4</v>
      </c>
      <c r="O54" s="4">
        <v>23</v>
      </c>
      <c r="P54" s="4">
        <v>16</v>
      </c>
      <c r="Q54" s="4" t="s">
        <v>32</v>
      </c>
      <c r="R54" s="5"/>
      <c r="S54" s="4" t="s">
        <v>39</v>
      </c>
    </row>
    <row r="55" spans="1:19" x14ac:dyDescent="0.3">
      <c r="A55" s="4">
        <v>54</v>
      </c>
      <c r="B55" s="4" t="s">
        <v>123</v>
      </c>
      <c r="C55" s="4" t="s">
        <v>46</v>
      </c>
      <c r="D55" s="4">
        <v>50</v>
      </c>
      <c r="E55" s="4" t="str" cm="1">
        <f t="array" ref="E55">_xlfn.IFS(Table1[[#This Row],[Age]]&lt;=30, "18-30",Table1[[#This Row],[Age]]&lt;=40, "31-40", Table1[[#This Row],[Age]]&lt;=50, "41-50", TRUE, "51-65")</f>
        <v>41-50</v>
      </c>
      <c r="F55" s="4" t="s">
        <v>85</v>
      </c>
      <c r="G55" s="4" t="s">
        <v>108</v>
      </c>
      <c r="H55" s="4">
        <v>39000</v>
      </c>
      <c r="I55" s="5">
        <v>45250</v>
      </c>
      <c r="J55" s="4">
        <v>2.9</v>
      </c>
      <c r="K55" s="4" t="str" cm="1">
        <f t="array" ref="K55">_xlfn.IFS(Table1[[#This Row],[Years_of_Service]]&lt;=2, "0-2 Years", Table1[[#This Row],[Years_of_Service]]&lt;=5, "3-5 Years", Table1[[#This Row],[Years_of_Service]]&lt;=8, "6-8 Years", TRUE, "8 Years")</f>
        <v>3-5 Years</v>
      </c>
      <c r="L55" s="4" t="s">
        <v>37</v>
      </c>
      <c r="M55" s="4">
        <v>90.5</v>
      </c>
      <c r="N55" s="4">
        <v>92.4</v>
      </c>
      <c r="O55" s="4">
        <v>2</v>
      </c>
      <c r="P55" s="4">
        <v>8</v>
      </c>
      <c r="Q55" s="4" t="s">
        <v>32</v>
      </c>
      <c r="R55" s="5"/>
      <c r="S55" s="4" t="s">
        <v>75</v>
      </c>
    </row>
    <row r="56" spans="1:19" x14ac:dyDescent="0.3">
      <c r="A56" s="4">
        <v>55</v>
      </c>
      <c r="B56" s="4" t="s">
        <v>124</v>
      </c>
      <c r="C56" s="4" t="s">
        <v>46</v>
      </c>
      <c r="D56" s="4">
        <v>42</v>
      </c>
      <c r="E56" s="4" t="str" cm="1">
        <f t="array" ref="E56">_xlfn.IFS(Table1[[#This Row],[Age]]&lt;=30, "18-30",Table1[[#This Row],[Age]]&lt;=40, "31-40", Table1[[#This Row],[Age]]&lt;=50, "41-50", TRUE, "51-65")</f>
        <v>41-50</v>
      </c>
      <c r="F56" s="4" t="s">
        <v>51</v>
      </c>
      <c r="G56" s="4" t="s">
        <v>55</v>
      </c>
      <c r="H56" s="4">
        <v>33000</v>
      </c>
      <c r="I56" s="5">
        <v>43583</v>
      </c>
      <c r="J56" s="4">
        <v>7.4</v>
      </c>
      <c r="K56" s="4" t="str" cm="1">
        <f t="array" ref="K56">_xlfn.IFS(Table1[[#This Row],[Years_of_Service]]&lt;=2, "0-2 Years", Table1[[#This Row],[Years_of_Service]]&lt;=5, "3-5 Years", Table1[[#This Row],[Years_of_Service]]&lt;=8, "6-8 Years", TRUE, "8 Years")</f>
        <v>6-8 Years</v>
      </c>
      <c r="L56" s="4" t="s">
        <v>98</v>
      </c>
      <c r="M56" s="4">
        <v>76</v>
      </c>
      <c r="N56" s="4">
        <v>88.2</v>
      </c>
      <c r="O56" s="4">
        <v>8</v>
      </c>
      <c r="P56" s="4">
        <v>8</v>
      </c>
      <c r="Q56" s="4" t="s">
        <v>32</v>
      </c>
      <c r="R56" s="5"/>
      <c r="S56" s="4" t="s">
        <v>44</v>
      </c>
    </row>
    <row r="57" spans="1:19" x14ac:dyDescent="0.3">
      <c r="A57" s="4">
        <v>56</v>
      </c>
      <c r="B57" s="4" t="s">
        <v>125</v>
      </c>
      <c r="C57" s="4" t="s">
        <v>28</v>
      </c>
      <c r="D57" s="4">
        <v>36</v>
      </c>
      <c r="E57" s="4" t="str" cm="1">
        <f t="array" ref="E57">_xlfn.IFS(Table1[[#This Row],[Age]]&lt;=30, "18-30",Table1[[#This Row],[Age]]&lt;=40, "31-40", Table1[[#This Row],[Age]]&lt;=50, "41-50", TRUE, "51-65")</f>
        <v>31-40</v>
      </c>
      <c r="F57" s="4" t="s">
        <v>35</v>
      </c>
      <c r="G57" s="4" t="s">
        <v>36</v>
      </c>
      <c r="H57" s="4">
        <v>55000</v>
      </c>
      <c r="I57" s="5">
        <v>45130</v>
      </c>
      <c r="J57" s="4">
        <v>3.2</v>
      </c>
      <c r="K57" s="4" t="str" cm="1">
        <f t="array" ref="K57">_xlfn.IFS(Table1[[#This Row],[Years_of_Service]]&lt;=2, "0-2 Years", Table1[[#This Row],[Years_of_Service]]&lt;=5, "3-5 Years", Table1[[#This Row],[Years_of_Service]]&lt;=8, "6-8 Years", TRUE, "8 Years")</f>
        <v>3-5 Years</v>
      </c>
      <c r="L57" s="4" t="s">
        <v>49</v>
      </c>
      <c r="M57" s="4">
        <v>76</v>
      </c>
      <c r="N57" s="4">
        <v>95.3</v>
      </c>
      <c r="O57" s="4">
        <v>22</v>
      </c>
      <c r="P57" s="4">
        <v>15</v>
      </c>
      <c r="Q57" s="4" t="s">
        <v>32</v>
      </c>
      <c r="R57" s="5"/>
      <c r="S57" s="4" t="s">
        <v>75</v>
      </c>
    </row>
    <row r="58" spans="1:19" x14ac:dyDescent="0.3">
      <c r="A58" s="4">
        <v>57</v>
      </c>
      <c r="B58" s="4" t="s">
        <v>126</v>
      </c>
      <c r="C58" s="4" t="s">
        <v>28</v>
      </c>
      <c r="D58" s="4">
        <v>39</v>
      </c>
      <c r="E58" s="4" t="str" cm="1">
        <f t="array" ref="E58">_xlfn.IFS(Table1[[#This Row],[Age]]&lt;=30, "18-30",Table1[[#This Row],[Age]]&lt;=40, "31-40", Table1[[#This Row],[Age]]&lt;=50, "41-50", TRUE, "51-65")</f>
        <v>31-40</v>
      </c>
      <c r="F58" s="4" t="s">
        <v>41</v>
      </c>
      <c r="G58" s="4" t="s">
        <v>42</v>
      </c>
      <c r="H58" s="4">
        <v>31000</v>
      </c>
      <c r="I58" s="5">
        <v>44373</v>
      </c>
      <c r="J58" s="4">
        <v>5.3</v>
      </c>
      <c r="K58" s="4" t="str" cm="1">
        <f t="array" ref="K58">_xlfn.IFS(Table1[[#This Row],[Years_of_Service]]&lt;=2, "0-2 Years", Table1[[#This Row],[Years_of_Service]]&lt;=5, "3-5 Years", Table1[[#This Row],[Years_of_Service]]&lt;=8, "6-8 Years", TRUE, "8 Years")</f>
        <v>6-8 Years</v>
      </c>
      <c r="L58" s="4" t="s">
        <v>98</v>
      </c>
      <c r="M58" s="4">
        <v>83.6</v>
      </c>
      <c r="N58" s="4">
        <v>88.5</v>
      </c>
      <c r="O58" s="4">
        <v>13</v>
      </c>
      <c r="P58" s="4">
        <v>17</v>
      </c>
      <c r="Q58" s="4" t="s">
        <v>38</v>
      </c>
      <c r="R58" s="5">
        <v>45758</v>
      </c>
      <c r="S58" s="4" t="s">
        <v>39</v>
      </c>
    </row>
    <row r="59" spans="1:19" x14ac:dyDescent="0.3">
      <c r="A59" s="4">
        <v>58</v>
      </c>
      <c r="B59" s="4" t="s">
        <v>127</v>
      </c>
      <c r="C59" s="4" t="s">
        <v>46</v>
      </c>
      <c r="D59" s="4">
        <v>38</v>
      </c>
      <c r="E59" s="4" t="str" cm="1">
        <f t="array" ref="E59">_xlfn.IFS(Table1[[#This Row],[Age]]&lt;=30, "18-30",Table1[[#This Row],[Age]]&lt;=40, "31-40", Table1[[#This Row],[Age]]&lt;=50, "41-50", TRUE, "51-65")</f>
        <v>31-40</v>
      </c>
      <c r="F59" s="4" t="s">
        <v>47</v>
      </c>
      <c r="G59" s="4" t="s">
        <v>64</v>
      </c>
      <c r="H59" s="4">
        <v>49000</v>
      </c>
      <c r="I59" s="5">
        <v>44721</v>
      </c>
      <c r="J59" s="4">
        <v>4.3</v>
      </c>
      <c r="K59" s="4" t="str" cm="1">
        <f t="array" ref="K59">_xlfn.IFS(Table1[[#This Row],[Years_of_Service]]&lt;=2, "0-2 Years", Table1[[#This Row],[Years_of_Service]]&lt;=5, "3-5 Years", Table1[[#This Row],[Years_of_Service]]&lt;=8, "6-8 Years", TRUE, "8 Years")</f>
        <v>3-5 Years</v>
      </c>
      <c r="L59" s="4" t="s">
        <v>98</v>
      </c>
      <c r="M59" s="4">
        <v>65.8</v>
      </c>
      <c r="N59" s="4">
        <v>84.1</v>
      </c>
      <c r="O59" s="4">
        <v>3</v>
      </c>
      <c r="P59" s="4">
        <v>17</v>
      </c>
      <c r="Q59" s="4" t="s">
        <v>32</v>
      </c>
      <c r="R59" s="5"/>
      <c r="S59" s="4" t="s">
        <v>60</v>
      </c>
    </row>
    <row r="60" spans="1:19" x14ac:dyDescent="0.3">
      <c r="A60" s="4">
        <v>59</v>
      </c>
      <c r="B60" s="4" t="s">
        <v>128</v>
      </c>
      <c r="C60" s="4" t="s">
        <v>46</v>
      </c>
      <c r="D60" s="4">
        <v>38</v>
      </c>
      <c r="E60" s="4" t="str" cm="1">
        <f t="array" ref="E60">_xlfn.IFS(Table1[[#This Row],[Age]]&lt;=30, "18-30",Table1[[#This Row],[Age]]&lt;=40, "31-40", Table1[[#This Row],[Age]]&lt;=50, "41-50", TRUE, "51-65")</f>
        <v>31-40</v>
      </c>
      <c r="F60" s="4" t="s">
        <v>51</v>
      </c>
      <c r="G60" s="4" t="s">
        <v>73</v>
      </c>
      <c r="H60" s="4">
        <v>53000</v>
      </c>
      <c r="I60" s="5">
        <v>45880</v>
      </c>
      <c r="J60" s="4">
        <v>1.2</v>
      </c>
      <c r="K60" s="4" t="str" cm="1">
        <f t="array" ref="K60">_xlfn.IFS(Table1[[#This Row],[Years_of_Service]]&lt;=2, "0-2 Years", Table1[[#This Row],[Years_of_Service]]&lt;=5, "3-5 Years", Table1[[#This Row],[Years_of_Service]]&lt;=8, "6-8 Years", TRUE, "8 Years")</f>
        <v>0-2 Years</v>
      </c>
      <c r="L60" s="4" t="s">
        <v>98</v>
      </c>
      <c r="M60" s="4">
        <v>67.2</v>
      </c>
      <c r="N60" s="4">
        <v>83.8</v>
      </c>
      <c r="O60" s="4">
        <v>7</v>
      </c>
      <c r="P60" s="4">
        <v>11</v>
      </c>
      <c r="Q60" s="4" t="s">
        <v>32</v>
      </c>
      <c r="R60" s="5"/>
      <c r="S60" s="4" t="s">
        <v>60</v>
      </c>
    </row>
    <row r="61" spans="1:19" x14ac:dyDescent="0.3">
      <c r="A61" s="4">
        <v>60</v>
      </c>
      <c r="B61" s="4" t="s">
        <v>129</v>
      </c>
      <c r="C61" s="4" t="s">
        <v>28</v>
      </c>
      <c r="D61" s="4">
        <v>38</v>
      </c>
      <c r="E61" s="4" t="str" cm="1">
        <f t="array" ref="E61">_xlfn.IFS(Table1[[#This Row],[Age]]&lt;=30, "18-30",Table1[[#This Row],[Age]]&lt;=40, "31-40", Table1[[#This Row],[Age]]&lt;=50, "41-50", TRUE, "51-65")</f>
        <v>31-40</v>
      </c>
      <c r="F61" s="4" t="s">
        <v>47</v>
      </c>
      <c r="G61" s="4" t="s">
        <v>48</v>
      </c>
      <c r="H61" s="4">
        <v>43000</v>
      </c>
      <c r="I61" s="5">
        <v>43652</v>
      </c>
      <c r="J61" s="4">
        <v>7.3</v>
      </c>
      <c r="K61" s="4" t="str" cm="1">
        <f t="array" ref="K61">_xlfn.IFS(Table1[[#This Row],[Years_of_Service]]&lt;=2, "0-2 Years", Table1[[#This Row],[Years_of_Service]]&lt;=5, "3-5 Years", Table1[[#This Row],[Years_of_Service]]&lt;=8, "6-8 Years", TRUE, "8 Years")</f>
        <v>6-8 Years</v>
      </c>
      <c r="L61" s="4" t="s">
        <v>49</v>
      </c>
      <c r="M61" s="4">
        <v>96.9</v>
      </c>
      <c r="N61" s="4">
        <v>91.7</v>
      </c>
      <c r="O61" s="4">
        <v>24</v>
      </c>
      <c r="P61" s="4">
        <v>15</v>
      </c>
      <c r="Q61" s="4" t="s">
        <v>32</v>
      </c>
      <c r="R61" s="5"/>
      <c r="S61" s="4" t="s">
        <v>33</v>
      </c>
    </row>
    <row r="62" spans="1:19" x14ac:dyDescent="0.3">
      <c r="A62" s="4">
        <v>61</v>
      </c>
      <c r="B62" s="4" t="s">
        <v>130</v>
      </c>
      <c r="C62" s="4" t="s">
        <v>46</v>
      </c>
      <c r="D62" s="4">
        <v>51</v>
      </c>
      <c r="E62" s="4" t="str" cm="1">
        <f t="array" ref="E62">_xlfn.IFS(Table1[[#This Row],[Age]]&lt;=30, "18-30",Table1[[#This Row],[Age]]&lt;=40, "31-40", Table1[[#This Row],[Age]]&lt;=50, "41-50", TRUE, "51-65")</f>
        <v>51-65</v>
      </c>
      <c r="F62" s="4" t="s">
        <v>41</v>
      </c>
      <c r="G62" s="4" t="s">
        <v>42</v>
      </c>
      <c r="H62" s="4">
        <v>31000</v>
      </c>
      <c r="I62" s="5">
        <v>45426</v>
      </c>
      <c r="J62" s="4">
        <v>2.4</v>
      </c>
      <c r="K62" s="4" t="str" cm="1">
        <f t="array" ref="K62">_xlfn.IFS(Table1[[#This Row],[Years_of_Service]]&lt;=2, "0-2 Years", Table1[[#This Row],[Years_of_Service]]&lt;=5, "3-5 Years", Table1[[#This Row],[Years_of_Service]]&lt;=8, "6-8 Years", TRUE, "8 Years")</f>
        <v>3-5 Years</v>
      </c>
      <c r="L62" s="4" t="s">
        <v>43</v>
      </c>
      <c r="M62" s="4">
        <v>57.2</v>
      </c>
      <c r="N62" s="4">
        <v>98.5</v>
      </c>
      <c r="O62" s="4">
        <v>2</v>
      </c>
      <c r="P62" s="4">
        <v>12</v>
      </c>
      <c r="Q62" s="4" t="s">
        <v>32</v>
      </c>
      <c r="R62" s="5"/>
      <c r="S62" s="4" t="s">
        <v>75</v>
      </c>
    </row>
    <row r="63" spans="1:19" x14ac:dyDescent="0.3">
      <c r="A63" s="4">
        <v>62</v>
      </c>
      <c r="B63" s="4" t="s">
        <v>131</v>
      </c>
      <c r="C63" s="4" t="s">
        <v>28</v>
      </c>
      <c r="D63" s="4">
        <v>30</v>
      </c>
      <c r="E63" s="4" t="str" cm="1">
        <f t="array" ref="E63">_xlfn.IFS(Table1[[#This Row],[Age]]&lt;=30, "18-30",Table1[[#This Row],[Age]]&lt;=40, "31-40", Table1[[#This Row],[Age]]&lt;=50, "41-50", TRUE, "51-65")</f>
        <v>18-30</v>
      </c>
      <c r="F63" s="4" t="s">
        <v>35</v>
      </c>
      <c r="G63" s="4" t="s">
        <v>69</v>
      </c>
      <c r="H63" s="4">
        <v>57000</v>
      </c>
      <c r="I63" s="5">
        <v>45771</v>
      </c>
      <c r="J63" s="4">
        <v>1.5</v>
      </c>
      <c r="K63" s="4" t="str" cm="1">
        <f t="array" ref="K63">_xlfn.IFS(Table1[[#This Row],[Years_of_Service]]&lt;=2, "0-2 Years", Table1[[#This Row],[Years_of_Service]]&lt;=5, "3-5 Years", Table1[[#This Row],[Years_of_Service]]&lt;=8, "6-8 Years", TRUE, "8 Years")</f>
        <v>0-2 Years</v>
      </c>
      <c r="L63" s="4" t="s">
        <v>43</v>
      </c>
      <c r="M63" s="4">
        <v>95.8</v>
      </c>
      <c r="N63" s="4">
        <v>83.5</v>
      </c>
      <c r="O63" s="4">
        <v>17</v>
      </c>
      <c r="P63" s="4">
        <v>13</v>
      </c>
      <c r="Q63" s="4" t="s">
        <v>32</v>
      </c>
      <c r="R63" s="5"/>
      <c r="S63" s="4" t="s">
        <v>44</v>
      </c>
    </row>
    <row r="64" spans="1:19" x14ac:dyDescent="0.3">
      <c r="A64" s="4">
        <v>63</v>
      </c>
      <c r="B64" s="4" t="s">
        <v>132</v>
      </c>
      <c r="C64" s="4" t="s">
        <v>28</v>
      </c>
      <c r="D64" s="4">
        <v>54</v>
      </c>
      <c r="E64" s="4" t="str" cm="1">
        <f t="array" ref="E64">_xlfn.IFS(Table1[[#This Row],[Age]]&lt;=30, "18-30",Table1[[#This Row],[Age]]&lt;=40, "31-40", Table1[[#This Row],[Age]]&lt;=50, "41-50", TRUE, "51-65")</f>
        <v>51-65</v>
      </c>
      <c r="F64" s="4" t="s">
        <v>85</v>
      </c>
      <c r="G64" s="4" t="s">
        <v>108</v>
      </c>
      <c r="H64" s="4">
        <v>33000</v>
      </c>
      <c r="I64" s="5">
        <v>45024</v>
      </c>
      <c r="J64" s="4">
        <v>3.5</v>
      </c>
      <c r="K64" s="4" t="str" cm="1">
        <f t="array" ref="K64">_xlfn.IFS(Table1[[#This Row],[Years_of_Service]]&lt;=2, "0-2 Years", Table1[[#This Row],[Years_of_Service]]&lt;=5, "3-5 Years", Table1[[#This Row],[Years_of_Service]]&lt;=8, "6-8 Years", TRUE, "8 Years")</f>
        <v>3-5 Years</v>
      </c>
      <c r="L64" s="4" t="s">
        <v>31</v>
      </c>
      <c r="M64" s="4">
        <v>92</v>
      </c>
      <c r="N64" s="4">
        <v>99.3</v>
      </c>
      <c r="O64" s="4">
        <v>19</v>
      </c>
      <c r="P64" s="4">
        <v>1</v>
      </c>
      <c r="Q64" s="4" t="s">
        <v>32</v>
      </c>
      <c r="R64" s="5"/>
      <c r="S64" s="4" t="s">
        <v>44</v>
      </c>
    </row>
    <row r="65" spans="1:19" x14ac:dyDescent="0.3">
      <c r="A65" s="4">
        <v>64</v>
      </c>
      <c r="B65" s="4" t="s">
        <v>133</v>
      </c>
      <c r="C65" s="4" t="s">
        <v>28</v>
      </c>
      <c r="D65" s="4">
        <v>34</v>
      </c>
      <c r="E65" s="4" t="str" cm="1">
        <f t="array" ref="E65">_xlfn.IFS(Table1[[#This Row],[Age]]&lt;=30, "18-30",Table1[[#This Row],[Age]]&lt;=40, "31-40", Table1[[#This Row],[Age]]&lt;=50, "41-50", TRUE, "51-65")</f>
        <v>31-40</v>
      </c>
      <c r="F65" s="4" t="s">
        <v>29</v>
      </c>
      <c r="G65" s="4" t="s">
        <v>30</v>
      </c>
      <c r="H65" s="4">
        <v>49000</v>
      </c>
      <c r="I65" s="5">
        <v>44549</v>
      </c>
      <c r="J65" s="4">
        <v>4.8</v>
      </c>
      <c r="K65" s="4" t="str" cm="1">
        <f t="array" ref="K65">_xlfn.IFS(Table1[[#This Row],[Years_of_Service]]&lt;=2, "0-2 Years", Table1[[#This Row],[Years_of_Service]]&lt;=5, "3-5 Years", Table1[[#This Row],[Years_of_Service]]&lt;=8, "6-8 Years", TRUE, "8 Years")</f>
        <v>3-5 Years</v>
      </c>
      <c r="L65" s="4" t="s">
        <v>31</v>
      </c>
      <c r="M65" s="4">
        <v>83.4</v>
      </c>
      <c r="N65" s="4">
        <v>84.7</v>
      </c>
      <c r="O65" s="4">
        <v>2</v>
      </c>
      <c r="P65" s="4">
        <v>5</v>
      </c>
      <c r="Q65" s="4" t="s">
        <v>32</v>
      </c>
      <c r="R65" s="5"/>
      <c r="S65" s="4" t="s">
        <v>33</v>
      </c>
    </row>
    <row r="66" spans="1:19" x14ac:dyDescent="0.3">
      <c r="A66" s="4">
        <v>65</v>
      </c>
      <c r="B66" s="4" t="s">
        <v>134</v>
      </c>
      <c r="C66" s="4" t="s">
        <v>46</v>
      </c>
      <c r="D66" s="4">
        <v>39</v>
      </c>
      <c r="E66" s="4" t="str" cm="1">
        <f t="array" ref="E66">_xlfn.IFS(Table1[[#This Row],[Age]]&lt;=30, "18-30",Table1[[#This Row],[Age]]&lt;=40, "31-40", Table1[[#This Row],[Age]]&lt;=50, "41-50", TRUE, "51-65")</f>
        <v>31-40</v>
      </c>
      <c r="F66" s="4" t="s">
        <v>58</v>
      </c>
      <c r="G66" s="4" t="s">
        <v>59</v>
      </c>
      <c r="H66" s="4">
        <v>54000</v>
      </c>
      <c r="I66" s="5">
        <v>43599</v>
      </c>
      <c r="J66" s="4">
        <v>7.4</v>
      </c>
      <c r="K66" s="4" t="str" cm="1">
        <f t="array" ref="K66">_xlfn.IFS(Table1[[#This Row],[Years_of_Service]]&lt;=2, "0-2 Years", Table1[[#This Row],[Years_of_Service]]&lt;=5, "3-5 Years", Table1[[#This Row],[Years_of_Service]]&lt;=8, "6-8 Years", TRUE, "8 Years")</f>
        <v>6-8 Years</v>
      </c>
      <c r="L66" s="4" t="s">
        <v>98</v>
      </c>
      <c r="M66" s="4">
        <v>85.2</v>
      </c>
      <c r="N66" s="4">
        <v>89.9</v>
      </c>
      <c r="O66" s="4">
        <v>20</v>
      </c>
      <c r="P66" s="4">
        <v>18</v>
      </c>
      <c r="Q66" s="4" t="s">
        <v>32</v>
      </c>
      <c r="R66" s="5"/>
      <c r="S66" s="4" t="s">
        <v>60</v>
      </c>
    </row>
    <row r="67" spans="1:19" x14ac:dyDescent="0.3">
      <c r="A67" s="4">
        <v>66</v>
      </c>
      <c r="B67" s="4" t="s">
        <v>135</v>
      </c>
      <c r="C67" s="4" t="s">
        <v>28</v>
      </c>
      <c r="D67" s="4">
        <v>30</v>
      </c>
      <c r="E67" s="4" t="str" cm="1">
        <f t="array" ref="E67">_xlfn.IFS(Table1[[#This Row],[Age]]&lt;=30, "18-30",Table1[[#This Row],[Age]]&lt;=40, "31-40", Table1[[#This Row],[Age]]&lt;=50, "41-50", TRUE, "51-65")</f>
        <v>18-30</v>
      </c>
      <c r="F67" s="4" t="s">
        <v>58</v>
      </c>
      <c r="G67" s="4" t="s">
        <v>136</v>
      </c>
      <c r="H67" s="4">
        <v>69000</v>
      </c>
      <c r="I67" s="5">
        <v>44554</v>
      </c>
      <c r="J67" s="4">
        <v>4.8</v>
      </c>
      <c r="K67" s="4" t="str" cm="1">
        <f t="array" ref="K67">_xlfn.IFS(Table1[[#This Row],[Years_of_Service]]&lt;=2, "0-2 Years", Table1[[#This Row],[Years_of_Service]]&lt;=5, "3-5 Years", Table1[[#This Row],[Years_of_Service]]&lt;=8, "6-8 Years", TRUE, "8 Years")</f>
        <v>3-5 Years</v>
      </c>
      <c r="L67" s="4" t="s">
        <v>98</v>
      </c>
      <c r="M67" s="4">
        <v>90.5</v>
      </c>
      <c r="N67" s="4">
        <v>83.2</v>
      </c>
      <c r="O67" s="4">
        <v>19</v>
      </c>
      <c r="P67" s="4">
        <v>18</v>
      </c>
      <c r="Q67" s="4" t="s">
        <v>32</v>
      </c>
      <c r="R67" s="5"/>
      <c r="S67" s="4" t="s">
        <v>39</v>
      </c>
    </row>
    <row r="68" spans="1:19" x14ac:dyDescent="0.3">
      <c r="A68" s="4">
        <v>67</v>
      </c>
      <c r="B68" s="4" t="s">
        <v>137</v>
      </c>
      <c r="C68" s="4" t="s">
        <v>46</v>
      </c>
      <c r="D68" s="4">
        <v>40</v>
      </c>
      <c r="E68" s="4" t="str" cm="1">
        <f t="array" ref="E68">_xlfn.IFS(Table1[[#This Row],[Age]]&lt;=30, "18-30",Table1[[#This Row],[Age]]&lt;=40, "31-40", Table1[[#This Row],[Age]]&lt;=50, "41-50", TRUE, "51-65")</f>
        <v>31-40</v>
      </c>
      <c r="F68" s="4" t="s">
        <v>58</v>
      </c>
      <c r="G68" s="4" t="s">
        <v>136</v>
      </c>
      <c r="H68" s="4">
        <v>64000</v>
      </c>
      <c r="I68" s="5">
        <v>45114</v>
      </c>
      <c r="J68" s="4">
        <v>3.3</v>
      </c>
      <c r="K68" s="4" t="str" cm="1">
        <f t="array" ref="K68">_xlfn.IFS(Table1[[#This Row],[Years_of_Service]]&lt;=2, "0-2 Years", Table1[[#This Row],[Years_of_Service]]&lt;=5, "3-5 Years", Table1[[#This Row],[Years_of_Service]]&lt;=8, "6-8 Years", TRUE, "8 Years")</f>
        <v>3-5 Years</v>
      </c>
      <c r="L68" s="4" t="s">
        <v>53</v>
      </c>
      <c r="M68" s="4">
        <v>76.2</v>
      </c>
      <c r="N68" s="4">
        <v>83.4</v>
      </c>
      <c r="O68" s="4">
        <v>23</v>
      </c>
      <c r="P68" s="4">
        <v>10</v>
      </c>
      <c r="Q68" s="4" t="s">
        <v>32</v>
      </c>
      <c r="R68" s="5"/>
      <c r="S68" s="4" t="s">
        <v>44</v>
      </c>
    </row>
    <row r="69" spans="1:19" x14ac:dyDescent="0.3">
      <c r="A69" s="4">
        <v>68</v>
      </c>
      <c r="B69" s="4" t="s">
        <v>138</v>
      </c>
      <c r="C69" s="4" t="s">
        <v>28</v>
      </c>
      <c r="D69" s="4">
        <v>35</v>
      </c>
      <c r="E69" s="4" t="str" cm="1">
        <f t="array" ref="E69">_xlfn.IFS(Table1[[#This Row],[Age]]&lt;=30, "18-30",Table1[[#This Row],[Age]]&lt;=40, "31-40", Table1[[#This Row],[Age]]&lt;=50, "41-50", TRUE, "51-65")</f>
        <v>31-40</v>
      </c>
      <c r="F69" s="4" t="s">
        <v>47</v>
      </c>
      <c r="G69" s="4" t="s">
        <v>48</v>
      </c>
      <c r="H69" s="4">
        <v>40000</v>
      </c>
      <c r="I69" s="5">
        <v>46227</v>
      </c>
      <c r="J69" s="4">
        <v>0.2</v>
      </c>
      <c r="K69" s="4" t="str" cm="1">
        <f t="array" ref="K69">_xlfn.IFS(Table1[[#This Row],[Years_of_Service]]&lt;=2, "0-2 Years", Table1[[#This Row],[Years_of_Service]]&lt;=5, "3-5 Years", Table1[[#This Row],[Years_of_Service]]&lt;=8, "6-8 Years", TRUE, "8 Years")</f>
        <v>0-2 Years</v>
      </c>
      <c r="L69" s="4" t="s">
        <v>49</v>
      </c>
      <c r="M69" s="4">
        <v>90.9</v>
      </c>
      <c r="N69" s="4">
        <v>92.1</v>
      </c>
      <c r="O69" s="4">
        <v>8</v>
      </c>
      <c r="P69" s="4">
        <v>18</v>
      </c>
      <c r="Q69" s="4" t="s">
        <v>32</v>
      </c>
      <c r="R69" s="5"/>
      <c r="S69" s="4" t="s">
        <v>33</v>
      </c>
    </row>
    <row r="70" spans="1:19" x14ac:dyDescent="0.3">
      <c r="A70" s="4">
        <v>69</v>
      </c>
      <c r="B70" s="4" t="s">
        <v>139</v>
      </c>
      <c r="C70" s="4" t="s">
        <v>46</v>
      </c>
      <c r="D70" s="4">
        <v>54</v>
      </c>
      <c r="E70" s="4" t="str" cm="1">
        <f t="array" ref="E70">_xlfn.IFS(Table1[[#This Row],[Age]]&lt;=30, "18-30",Table1[[#This Row],[Age]]&lt;=40, "31-40", Table1[[#This Row],[Age]]&lt;=50, "41-50", TRUE, "51-65")</f>
        <v>51-65</v>
      </c>
      <c r="F70" s="4" t="s">
        <v>41</v>
      </c>
      <c r="G70" s="4" t="s">
        <v>42</v>
      </c>
      <c r="H70" s="4">
        <v>30000</v>
      </c>
      <c r="I70" s="5">
        <v>46134</v>
      </c>
      <c r="J70" s="4">
        <v>0.5</v>
      </c>
      <c r="K70" s="4" t="str" cm="1">
        <f t="array" ref="K70">_xlfn.IFS(Table1[[#This Row],[Years_of_Service]]&lt;=2, "0-2 Years", Table1[[#This Row],[Years_of_Service]]&lt;=5, "3-5 Years", Table1[[#This Row],[Years_of_Service]]&lt;=8, "6-8 Years", TRUE, "8 Years")</f>
        <v>0-2 Years</v>
      </c>
      <c r="L70" s="4" t="s">
        <v>43</v>
      </c>
      <c r="M70" s="4">
        <v>97.9</v>
      </c>
      <c r="N70" s="4">
        <v>89.6</v>
      </c>
      <c r="O70" s="4">
        <v>15</v>
      </c>
      <c r="P70" s="4">
        <v>11</v>
      </c>
      <c r="Q70" s="4" t="s">
        <v>32</v>
      </c>
      <c r="R70" s="5"/>
      <c r="S70" s="4" t="s">
        <v>75</v>
      </c>
    </row>
    <row r="71" spans="1:19" x14ac:dyDescent="0.3">
      <c r="A71" s="4">
        <v>70</v>
      </c>
      <c r="B71" s="4" t="s">
        <v>140</v>
      </c>
      <c r="C71" s="4" t="s">
        <v>28</v>
      </c>
      <c r="D71" s="4">
        <v>31</v>
      </c>
      <c r="E71" s="4" t="str" cm="1">
        <f t="array" ref="E71">_xlfn.IFS(Table1[[#This Row],[Age]]&lt;=30, "18-30",Table1[[#This Row],[Age]]&lt;=40, "31-40", Table1[[#This Row],[Age]]&lt;=50, "41-50", TRUE, "51-65")</f>
        <v>31-40</v>
      </c>
      <c r="F71" s="4" t="s">
        <v>47</v>
      </c>
      <c r="G71" s="4" t="s">
        <v>89</v>
      </c>
      <c r="H71" s="4">
        <v>47000</v>
      </c>
      <c r="I71" s="5">
        <v>44816</v>
      </c>
      <c r="J71" s="4">
        <v>4.0999999999999996</v>
      </c>
      <c r="K71" s="4" t="str" cm="1">
        <f t="array" ref="K71">_xlfn.IFS(Table1[[#This Row],[Years_of_Service]]&lt;=2, "0-2 Years", Table1[[#This Row],[Years_of_Service]]&lt;=5, "3-5 Years", Table1[[#This Row],[Years_of_Service]]&lt;=8, "6-8 Years", TRUE, "8 Years")</f>
        <v>3-5 Years</v>
      </c>
      <c r="L71" s="4" t="s">
        <v>31</v>
      </c>
      <c r="M71" s="4">
        <v>72.7</v>
      </c>
      <c r="N71" s="4">
        <v>90.7</v>
      </c>
      <c r="O71" s="4">
        <v>1</v>
      </c>
      <c r="P71" s="4">
        <v>14</v>
      </c>
      <c r="Q71" s="4" t="s">
        <v>32</v>
      </c>
      <c r="R71" s="5"/>
      <c r="S71" s="4" t="s">
        <v>33</v>
      </c>
    </row>
    <row r="72" spans="1:19" x14ac:dyDescent="0.3">
      <c r="A72" s="4">
        <v>71</v>
      </c>
      <c r="B72" s="4" t="s">
        <v>141</v>
      </c>
      <c r="C72" s="4" t="s">
        <v>46</v>
      </c>
      <c r="D72" s="4">
        <v>28</v>
      </c>
      <c r="E72" s="4" t="str" cm="1">
        <f t="array" ref="E72">_xlfn.IFS(Table1[[#This Row],[Age]]&lt;=30, "18-30",Table1[[#This Row],[Age]]&lt;=40, "31-40", Table1[[#This Row],[Age]]&lt;=50, "41-50", TRUE, "51-65")</f>
        <v>18-30</v>
      </c>
      <c r="F72" s="4" t="s">
        <v>47</v>
      </c>
      <c r="G72" s="4" t="s">
        <v>89</v>
      </c>
      <c r="H72" s="4">
        <v>57000</v>
      </c>
      <c r="I72" s="5">
        <v>45121</v>
      </c>
      <c r="J72" s="4">
        <v>3.2</v>
      </c>
      <c r="K72" s="4" t="str" cm="1">
        <f t="array" ref="K72">_xlfn.IFS(Table1[[#This Row],[Years_of_Service]]&lt;=2, "0-2 Years", Table1[[#This Row],[Years_of_Service]]&lt;=5, "3-5 Years", Table1[[#This Row],[Years_of_Service]]&lt;=8, "6-8 Years", TRUE, "8 Years")</f>
        <v>3-5 Years</v>
      </c>
      <c r="L72" s="4" t="s">
        <v>53</v>
      </c>
      <c r="M72" s="4">
        <v>55</v>
      </c>
      <c r="N72" s="4">
        <v>97.2</v>
      </c>
      <c r="O72" s="4">
        <v>1</v>
      </c>
      <c r="P72" s="4">
        <v>6</v>
      </c>
      <c r="Q72" s="4" t="s">
        <v>32</v>
      </c>
      <c r="R72" s="5"/>
      <c r="S72" s="4" t="s">
        <v>44</v>
      </c>
    </row>
    <row r="73" spans="1:19" x14ac:dyDescent="0.3">
      <c r="A73" s="4">
        <v>72</v>
      </c>
      <c r="B73" s="4" t="s">
        <v>142</v>
      </c>
      <c r="C73" s="4" t="s">
        <v>46</v>
      </c>
      <c r="D73" s="4">
        <v>49</v>
      </c>
      <c r="E73" s="4" t="str" cm="1">
        <f t="array" ref="E73">_xlfn.IFS(Table1[[#This Row],[Age]]&lt;=30, "18-30",Table1[[#This Row],[Age]]&lt;=40, "31-40", Table1[[#This Row],[Age]]&lt;=50, "41-50", TRUE, "51-65")</f>
        <v>41-50</v>
      </c>
      <c r="F73" s="4" t="s">
        <v>47</v>
      </c>
      <c r="G73" s="4" t="s">
        <v>64</v>
      </c>
      <c r="H73" s="4">
        <v>31000</v>
      </c>
      <c r="I73" s="5">
        <v>43677</v>
      </c>
      <c r="J73" s="4">
        <v>7.2</v>
      </c>
      <c r="K73" s="4" t="str" cm="1">
        <f t="array" ref="K73">_xlfn.IFS(Table1[[#This Row],[Years_of_Service]]&lt;=2, "0-2 Years", Table1[[#This Row],[Years_of_Service]]&lt;=5, "3-5 Years", Table1[[#This Row],[Years_of_Service]]&lt;=8, "6-8 Years", TRUE, "8 Years")</f>
        <v>6-8 Years</v>
      </c>
      <c r="L73" s="4" t="s">
        <v>53</v>
      </c>
      <c r="M73" s="4">
        <v>63.8</v>
      </c>
      <c r="N73" s="4">
        <v>91.6</v>
      </c>
      <c r="O73" s="4">
        <v>22</v>
      </c>
      <c r="P73" s="4">
        <v>15</v>
      </c>
      <c r="Q73" s="4" t="s">
        <v>32</v>
      </c>
      <c r="R73" s="5"/>
      <c r="S73" s="4" t="s">
        <v>33</v>
      </c>
    </row>
    <row r="74" spans="1:19" x14ac:dyDescent="0.3">
      <c r="A74" s="4">
        <v>73</v>
      </c>
      <c r="B74" s="4" t="s">
        <v>143</v>
      </c>
      <c r="C74" s="4" t="s">
        <v>28</v>
      </c>
      <c r="D74" s="4">
        <v>40</v>
      </c>
      <c r="E74" s="4" t="str" cm="1">
        <f t="array" ref="E74">_xlfn.IFS(Table1[[#This Row],[Age]]&lt;=30, "18-30",Table1[[#This Row],[Age]]&lt;=40, "31-40", Table1[[#This Row],[Age]]&lt;=50, "41-50", TRUE, "51-65")</f>
        <v>31-40</v>
      </c>
      <c r="F74" s="4" t="s">
        <v>35</v>
      </c>
      <c r="G74" s="4" t="s">
        <v>36</v>
      </c>
      <c r="H74" s="4">
        <v>67000</v>
      </c>
      <c r="I74" s="5">
        <v>45722</v>
      </c>
      <c r="J74" s="4">
        <v>1.6</v>
      </c>
      <c r="K74" s="4" t="str" cm="1">
        <f t="array" ref="K74">_xlfn.IFS(Table1[[#This Row],[Years_of_Service]]&lt;=2, "0-2 Years", Table1[[#This Row],[Years_of_Service]]&lt;=5, "3-5 Years", Table1[[#This Row],[Years_of_Service]]&lt;=8, "6-8 Years", TRUE, "8 Years")</f>
        <v>0-2 Years</v>
      </c>
      <c r="L74" s="4" t="s">
        <v>53</v>
      </c>
      <c r="M74" s="4">
        <v>64.7</v>
      </c>
      <c r="N74" s="4">
        <v>96.7</v>
      </c>
      <c r="O74" s="4">
        <v>3</v>
      </c>
      <c r="P74" s="4">
        <v>4</v>
      </c>
      <c r="Q74" s="4" t="s">
        <v>32</v>
      </c>
      <c r="R74" s="5"/>
      <c r="S74" s="4" t="s">
        <v>75</v>
      </c>
    </row>
    <row r="75" spans="1:19" x14ac:dyDescent="0.3">
      <c r="A75" s="4">
        <v>74</v>
      </c>
      <c r="B75" s="4" t="s">
        <v>144</v>
      </c>
      <c r="C75" s="4" t="s">
        <v>46</v>
      </c>
      <c r="D75" s="4">
        <v>47</v>
      </c>
      <c r="E75" s="4" t="str" cm="1">
        <f t="array" ref="E75">_xlfn.IFS(Table1[[#This Row],[Age]]&lt;=30, "18-30",Table1[[#This Row],[Age]]&lt;=40, "31-40", Table1[[#This Row],[Age]]&lt;=50, "41-50", TRUE, "51-65")</f>
        <v>41-50</v>
      </c>
      <c r="F75" s="4" t="s">
        <v>29</v>
      </c>
      <c r="G75" s="4" t="s">
        <v>93</v>
      </c>
      <c r="H75" s="4">
        <v>46000</v>
      </c>
      <c r="I75" s="5">
        <v>45442</v>
      </c>
      <c r="J75" s="4">
        <v>2.4</v>
      </c>
      <c r="K75" s="4" t="str" cm="1">
        <f t="array" ref="K75">_xlfn.IFS(Table1[[#This Row],[Years_of_Service]]&lt;=2, "0-2 Years", Table1[[#This Row],[Years_of_Service]]&lt;=5, "3-5 Years", Table1[[#This Row],[Years_of_Service]]&lt;=8, "6-8 Years", TRUE, "8 Years")</f>
        <v>3-5 Years</v>
      </c>
      <c r="L75" s="4" t="s">
        <v>53</v>
      </c>
      <c r="M75" s="4">
        <v>97.2</v>
      </c>
      <c r="N75" s="4">
        <v>86.3</v>
      </c>
      <c r="O75" s="4">
        <v>6</v>
      </c>
      <c r="P75" s="4">
        <v>16</v>
      </c>
      <c r="Q75" s="4" t="s">
        <v>38</v>
      </c>
      <c r="R75" s="5">
        <v>46153</v>
      </c>
      <c r="S75" s="4" t="s">
        <v>60</v>
      </c>
    </row>
    <row r="76" spans="1:19" x14ac:dyDescent="0.3">
      <c r="A76" s="4">
        <v>75</v>
      </c>
      <c r="B76" s="4" t="s">
        <v>145</v>
      </c>
      <c r="C76" s="4" t="s">
        <v>46</v>
      </c>
      <c r="D76" s="4">
        <v>47</v>
      </c>
      <c r="E76" s="4" t="str" cm="1">
        <f t="array" ref="E76">_xlfn.IFS(Table1[[#This Row],[Age]]&lt;=30, "18-30",Table1[[#This Row],[Age]]&lt;=40, "31-40", Table1[[#This Row],[Age]]&lt;=50, "41-50", TRUE, "51-65")</f>
        <v>41-50</v>
      </c>
      <c r="F76" s="4" t="s">
        <v>41</v>
      </c>
      <c r="G76" s="4" t="s">
        <v>42</v>
      </c>
      <c r="H76" s="4">
        <v>44000</v>
      </c>
      <c r="I76" s="5">
        <v>44858</v>
      </c>
      <c r="J76" s="4">
        <v>4</v>
      </c>
      <c r="K76" s="4" t="str" cm="1">
        <f t="array" ref="K76">_xlfn.IFS(Table1[[#This Row],[Years_of_Service]]&lt;=2, "0-2 Years", Table1[[#This Row],[Years_of_Service]]&lt;=5, "3-5 Years", Table1[[#This Row],[Years_of_Service]]&lt;=8, "6-8 Years", TRUE, "8 Years")</f>
        <v>3-5 Years</v>
      </c>
      <c r="L76" s="4" t="s">
        <v>31</v>
      </c>
      <c r="M76" s="4">
        <v>90.3</v>
      </c>
      <c r="N76" s="4">
        <v>86.9</v>
      </c>
      <c r="O76" s="4">
        <v>18</v>
      </c>
      <c r="P76" s="4">
        <v>15</v>
      </c>
      <c r="Q76" s="4" t="s">
        <v>32</v>
      </c>
      <c r="R76" s="5"/>
      <c r="S76" s="4" t="s">
        <v>60</v>
      </c>
    </row>
    <row r="77" spans="1:19" x14ac:dyDescent="0.3">
      <c r="A77" s="4">
        <v>76</v>
      </c>
      <c r="B77" s="4" t="s">
        <v>146</v>
      </c>
      <c r="C77" s="4" t="s">
        <v>46</v>
      </c>
      <c r="D77" s="4">
        <v>43</v>
      </c>
      <c r="E77" s="4" t="str" cm="1">
        <f t="array" ref="E77">_xlfn.IFS(Table1[[#This Row],[Age]]&lt;=30, "18-30",Table1[[#This Row],[Age]]&lt;=40, "31-40", Table1[[#This Row],[Age]]&lt;=50, "41-50", TRUE, "51-65")</f>
        <v>41-50</v>
      </c>
      <c r="F77" s="4" t="s">
        <v>58</v>
      </c>
      <c r="G77" s="4" t="s">
        <v>78</v>
      </c>
      <c r="H77" s="4">
        <v>46000</v>
      </c>
      <c r="I77" s="5">
        <v>44827</v>
      </c>
      <c r="J77" s="4">
        <v>4</v>
      </c>
      <c r="K77" s="4" t="str" cm="1">
        <f t="array" ref="K77">_xlfn.IFS(Table1[[#This Row],[Years_of_Service]]&lt;=2, "0-2 Years", Table1[[#This Row],[Years_of_Service]]&lt;=5, "3-5 Years", Table1[[#This Row],[Years_of_Service]]&lt;=8, "6-8 Years", TRUE, "8 Years")</f>
        <v>3-5 Years</v>
      </c>
      <c r="L77" s="4" t="s">
        <v>98</v>
      </c>
      <c r="M77" s="4">
        <v>78.7</v>
      </c>
      <c r="N77" s="4">
        <v>91.5</v>
      </c>
      <c r="O77" s="4">
        <v>6</v>
      </c>
      <c r="P77" s="4">
        <v>7</v>
      </c>
      <c r="Q77" s="4" t="s">
        <v>32</v>
      </c>
      <c r="R77" s="5"/>
      <c r="S77" s="4" t="s">
        <v>44</v>
      </c>
    </row>
    <row r="78" spans="1:19" x14ac:dyDescent="0.3">
      <c r="A78" s="4">
        <v>77</v>
      </c>
      <c r="B78" s="4" t="s">
        <v>147</v>
      </c>
      <c r="C78" s="4" t="s">
        <v>46</v>
      </c>
      <c r="D78" s="4">
        <v>23</v>
      </c>
      <c r="E78" s="4" t="str" cm="1">
        <f t="array" ref="E78">_xlfn.IFS(Table1[[#This Row],[Age]]&lt;=30, "18-30",Table1[[#This Row],[Age]]&lt;=40, "31-40", Table1[[#This Row],[Age]]&lt;=50, "41-50", TRUE, "51-65")</f>
        <v>18-30</v>
      </c>
      <c r="F78" s="4" t="s">
        <v>58</v>
      </c>
      <c r="G78" s="4" t="s">
        <v>136</v>
      </c>
      <c r="H78" s="4">
        <v>51000</v>
      </c>
      <c r="I78" s="5">
        <v>44769</v>
      </c>
      <c r="J78" s="4">
        <v>4.2</v>
      </c>
      <c r="K78" s="4" t="str" cm="1">
        <f t="array" ref="K78">_xlfn.IFS(Table1[[#This Row],[Years_of_Service]]&lt;=2, "0-2 Years", Table1[[#This Row],[Years_of_Service]]&lt;=5, "3-5 Years", Table1[[#This Row],[Years_of_Service]]&lt;=8, "6-8 Years", TRUE, "8 Years")</f>
        <v>3-5 Years</v>
      </c>
      <c r="L78" s="4" t="s">
        <v>53</v>
      </c>
      <c r="M78" s="4">
        <v>89.9</v>
      </c>
      <c r="N78" s="4">
        <v>88.8</v>
      </c>
      <c r="O78" s="4">
        <v>1</v>
      </c>
      <c r="P78" s="4">
        <v>4</v>
      </c>
      <c r="Q78" s="4" t="s">
        <v>32</v>
      </c>
      <c r="R78" s="5"/>
      <c r="S78" s="4" t="s">
        <v>44</v>
      </c>
    </row>
    <row r="79" spans="1:19" x14ac:dyDescent="0.3">
      <c r="A79" s="4">
        <v>78</v>
      </c>
      <c r="B79" s="4" t="s">
        <v>148</v>
      </c>
      <c r="C79" s="4" t="s">
        <v>28</v>
      </c>
      <c r="D79" s="4">
        <v>49</v>
      </c>
      <c r="E79" s="4" t="str" cm="1">
        <f t="array" ref="E79">_xlfn.IFS(Table1[[#This Row],[Age]]&lt;=30, "18-30",Table1[[#This Row],[Age]]&lt;=40, "31-40", Table1[[#This Row],[Age]]&lt;=50, "41-50", TRUE, "51-65")</f>
        <v>41-50</v>
      </c>
      <c r="F79" s="4" t="s">
        <v>85</v>
      </c>
      <c r="G79" s="4" t="s">
        <v>86</v>
      </c>
      <c r="H79" s="4">
        <v>28000</v>
      </c>
      <c r="I79" s="5">
        <v>43874</v>
      </c>
      <c r="J79" s="4">
        <v>6.6</v>
      </c>
      <c r="K79" s="4" t="str" cm="1">
        <f t="array" ref="K79">_xlfn.IFS(Table1[[#This Row],[Years_of_Service]]&lt;=2, "0-2 Years", Table1[[#This Row],[Years_of_Service]]&lt;=5, "3-5 Years", Table1[[#This Row],[Years_of_Service]]&lt;=8, "6-8 Years", TRUE, "8 Years")</f>
        <v>6-8 Years</v>
      </c>
      <c r="L79" s="4" t="s">
        <v>53</v>
      </c>
      <c r="M79" s="4">
        <v>77.599999999999994</v>
      </c>
      <c r="N79" s="4">
        <v>90</v>
      </c>
      <c r="O79" s="4">
        <v>20</v>
      </c>
      <c r="P79" s="4">
        <v>4</v>
      </c>
      <c r="Q79" s="4" t="s">
        <v>32</v>
      </c>
      <c r="R79" s="5"/>
      <c r="S79" s="4" t="s">
        <v>33</v>
      </c>
    </row>
    <row r="80" spans="1:19" x14ac:dyDescent="0.3">
      <c r="A80" s="4">
        <v>79</v>
      </c>
      <c r="B80" s="4" t="s">
        <v>149</v>
      </c>
      <c r="C80" s="4" t="s">
        <v>46</v>
      </c>
      <c r="D80" s="4">
        <v>46</v>
      </c>
      <c r="E80" s="4" t="str" cm="1">
        <f t="array" ref="E80">_xlfn.IFS(Table1[[#This Row],[Age]]&lt;=30, "18-30",Table1[[#This Row],[Age]]&lt;=40, "31-40", Table1[[#This Row],[Age]]&lt;=50, "41-50", TRUE, "51-65")</f>
        <v>41-50</v>
      </c>
      <c r="F80" s="4" t="s">
        <v>58</v>
      </c>
      <c r="G80" s="4" t="s">
        <v>59</v>
      </c>
      <c r="H80" s="4">
        <v>60000</v>
      </c>
      <c r="I80" s="5">
        <v>46127</v>
      </c>
      <c r="J80" s="4">
        <v>0.5</v>
      </c>
      <c r="K80" s="4" t="str" cm="1">
        <f t="array" ref="K80">_xlfn.IFS(Table1[[#This Row],[Years_of_Service]]&lt;=2, "0-2 Years", Table1[[#This Row],[Years_of_Service]]&lt;=5, "3-5 Years", Table1[[#This Row],[Years_of_Service]]&lt;=8, "6-8 Years", TRUE, "8 Years")</f>
        <v>0-2 Years</v>
      </c>
      <c r="L80" s="4" t="s">
        <v>49</v>
      </c>
      <c r="M80" s="4">
        <v>84</v>
      </c>
      <c r="N80" s="4">
        <v>91.3</v>
      </c>
      <c r="O80" s="4">
        <v>22</v>
      </c>
      <c r="P80" s="4">
        <v>15</v>
      </c>
      <c r="Q80" s="4" t="s">
        <v>32</v>
      </c>
      <c r="R80" s="5"/>
      <c r="S80" s="4" t="s">
        <v>44</v>
      </c>
    </row>
    <row r="81" spans="1:19" x14ac:dyDescent="0.3">
      <c r="A81" s="4">
        <v>80</v>
      </c>
      <c r="B81" s="4" t="s">
        <v>150</v>
      </c>
      <c r="C81" s="4" t="s">
        <v>28</v>
      </c>
      <c r="D81" s="4">
        <v>39</v>
      </c>
      <c r="E81" s="4" t="str" cm="1">
        <f t="array" ref="E81">_xlfn.IFS(Table1[[#This Row],[Age]]&lt;=30, "18-30",Table1[[#This Row],[Age]]&lt;=40, "31-40", Table1[[#This Row],[Age]]&lt;=50, "41-50", TRUE, "51-65")</f>
        <v>31-40</v>
      </c>
      <c r="F81" s="4" t="s">
        <v>35</v>
      </c>
      <c r="G81" s="4" t="s">
        <v>69</v>
      </c>
      <c r="H81" s="4">
        <v>60000</v>
      </c>
      <c r="I81" s="5">
        <v>44397</v>
      </c>
      <c r="J81" s="4">
        <v>5.2</v>
      </c>
      <c r="K81" s="4" t="str" cm="1">
        <f t="array" ref="K81">_xlfn.IFS(Table1[[#This Row],[Years_of_Service]]&lt;=2, "0-2 Years", Table1[[#This Row],[Years_of_Service]]&lt;=5, "3-5 Years", Table1[[#This Row],[Years_of_Service]]&lt;=8, "6-8 Years", TRUE, "8 Years")</f>
        <v>6-8 Years</v>
      </c>
      <c r="L81" s="4" t="s">
        <v>49</v>
      </c>
      <c r="M81" s="4">
        <v>87.1</v>
      </c>
      <c r="N81" s="4">
        <v>89.6</v>
      </c>
      <c r="O81" s="4">
        <v>22</v>
      </c>
      <c r="P81" s="4">
        <v>3</v>
      </c>
      <c r="Q81" s="4" t="s">
        <v>32</v>
      </c>
      <c r="R81" s="5"/>
      <c r="S81" s="4" t="s">
        <v>75</v>
      </c>
    </row>
    <row r="82" spans="1:19" x14ac:dyDescent="0.3">
      <c r="A82" s="4">
        <v>81</v>
      </c>
      <c r="B82" s="4" t="s">
        <v>151</v>
      </c>
      <c r="C82" s="4" t="s">
        <v>46</v>
      </c>
      <c r="D82" s="4">
        <v>22</v>
      </c>
      <c r="E82" s="4" t="str" cm="1">
        <f t="array" ref="E82">_xlfn.IFS(Table1[[#This Row],[Age]]&lt;=30, "18-30",Table1[[#This Row],[Age]]&lt;=40, "31-40", Table1[[#This Row],[Age]]&lt;=50, "41-50", TRUE, "51-65")</f>
        <v>18-30</v>
      </c>
      <c r="F82" s="4" t="s">
        <v>51</v>
      </c>
      <c r="G82" s="4" t="s">
        <v>52</v>
      </c>
      <c r="H82" s="4">
        <v>40000</v>
      </c>
      <c r="I82" s="5">
        <v>43654</v>
      </c>
      <c r="J82" s="4">
        <v>7.2</v>
      </c>
      <c r="K82" s="4" t="str" cm="1">
        <f t="array" ref="K82">_xlfn.IFS(Table1[[#This Row],[Years_of_Service]]&lt;=2, "0-2 Years", Table1[[#This Row],[Years_of_Service]]&lt;=5, "3-5 Years", Table1[[#This Row],[Years_of_Service]]&lt;=8, "6-8 Years", TRUE, "8 Years")</f>
        <v>6-8 Years</v>
      </c>
      <c r="L82" s="4" t="s">
        <v>31</v>
      </c>
      <c r="M82" s="4">
        <v>70.400000000000006</v>
      </c>
      <c r="N82" s="4">
        <v>89.5</v>
      </c>
      <c r="O82" s="4">
        <v>13</v>
      </c>
      <c r="P82" s="4">
        <v>18</v>
      </c>
      <c r="Q82" s="4" t="s">
        <v>32</v>
      </c>
      <c r="R82" s="5"/>
      <c r="S82" s="4" t="s">
        <v>60</v>
      </c>
    </row>
    <row r="83" spans="1:19" x14ac:dyDescent="0.3">
      <c r="A83" s="4">
        <v>82</v>
      </c>
      <c r="B83" s="4" t="s">
        <v>152</v>
      </c>
      <c r="C83" s="4" t="s">
        <v>28</v>
      </c>
      <c r="D83" s="4">
        <v>45</v>
      </c>
      <c r="E83" s="4" t="str" cm="1">
        <f t="array" ref="E83">_xlfn.IFS(Table1[[#This Row],[Age]]&lt;=30, "18-30",Table1[[#This Row],[Age]]&lt;=40, "31-40", Table1[[#This Row],[Age]]&lt;=50, "41-50", TRUE, "51-65")</f>
        <v>41-50</v>
      </c>
      <c r="F83" s="4" t="s">
        <v>51</v>
      </c>
      <c r="G83" s="4" t="s">
        <v>73</v>
      </c>
      <c r="H83" s="4">
        <v>44000</v>
      </c>
      <c r="I83" s="5">
        <v>46004</v>
      </c>
      <c r="J83" s="4">
        <v>0.8</v>
      </c>
      <c r="K83" s="4" t="str" cm="1">
        <f t="array" ref="K83">_xlfn.IFS(Table1[[#This Row],[Years_of_Service]]&lt;=2, "0-2 Years", Table1[[#This Row],[Years_of_Service]]&lt;=5, "3-5 Years", Table1[[#This Row],[Years_of_Service]]&lt;=8, "6-8 Years", TRUE, "8 Years")</f>
        <v>0-2 Years</v>
      </c>
      <c r="L83" s="4" t="s">
        <v>37</v>
      </c>
      <c r="M83" s="4">
        <v>84.4</v>
      </c>
      <c r="N83" s="4">
        <v>90.7</v>
      </c>
      <c r="O83" s="4">
        <v>14</v>
      </c>
      <c r="P83" s="4">
        <v>8</v>
      </c>
      <c r="Q83" s="4" t="s">
        <v>38</v>
      </c>
      <c r="R83" s="5">
        <v>46155</v>
      </c>
      <c r="S83" s="4" t="s">
        <v>75</v>
      </c>
    </row>
    <row r="84" spans="1:19" x14ac:dyDescent="0.3">
      <c r="A84" s="4">
        <v>83</v>
      </c>
      <c r="B84" s="4" t="s">
        <v>153</v>
      </c>
      <c r="C84" s="4" t="s">
        <v>28</v>
      </c>
      <c r="D84" s="4">
        <v>50</v>
      </c>
      <c r="E84" s="4" t="str" cm="1">
        <f t="array" ref="E84">_xlfn.IFS(Table1[[#This Row],[Age]]&lt;=30, "18-30",Table1[[#This Row],[Age]]&lt;=40, "31-40", Table1[[#This Row],[Age]]&lt;=50, "41-50", TRUE, "51-65")</f>
        <v>41-50</v>
      </c>
      <c r="F84" s="4" t="s">
        <v>47</v>
      </c>
      <c r="G84" s="4" t="s">
        <v>64</v>
      </c>
      <c r="H84" s="4">
        <v>42000</v>
      </c>
      <c r="I84" s="5">
        <v>44644</v>
      </c>
      <c r="J84" s="4">
        <v>4.5</v>
      </c>
      <c r="K84" s="4" t="str" cm="1">
        <f t="array" ref="K84">_xlfn.IFS(Table1[[#This Row],[Years_of_Service]]&lt;=2, "0-2 Years", Table1[[#This Row],[Years_of_Service]]&lt;=5, "3-5 Years", Table1[[#This Row],[Years_of_Service]]&lt;=8, "6-8 Years", TRUE, "8 Years")</f>
        <v>3-5 Years</v>
      </c>
      <c r="L84" s="4" t="s">
        <v>49</v>
      </c>
      <c r="M84" s="4">
        <v>74</v>
      </c>
      <c r="N84" s="4">
        <v>88</v>
      </c>
      <c r="O84" s="4">
        <v>13</v>
      </c>
      <c r="P84" s="4">
        <v>8</v>
      </c>
      <c r="Q84" s="4" t="s">
        <v>38</v>
      </c>
      <c r="R84" s="5">
        <v>45995</v>
      </c>
      <c r="S84" s="4" t="s">
        <v>75</v>
      </c>
    </row>
    <row r="85" spans="1:19" x14ac:dyDescent="0.3">
      <c r="A85" s="4">
        <v>84</v>
      </c>
      <c r="B85" s="4" t="s">
        <v>154</v>
      </c>
      <c r="C85" s="4" t="s">
        <v>28</v>
      </c>
      <c r="D85" s="4">
        <v>45</v>
      </c>
      <c r="E85" s="4" t="str" cm="1">
        <f t="array" ref="E85">_xlfn.IFS(Table1[[#This Row],[Age]]&lt;=30, "18-30",Table1[[#This Row],[Age]]&lt;=40, "31-40", Table1[[#This Row],[Age]]&lt;=50, "41-50", TRUE, "51-65")</f>
        <v>41-50</v>
      </c>
      <c r="F85" s="4" t="s">
        <v>41</v>
      </c>
      <c r="G85" s="4" t="s">
        <v>96</v>
      </c>
      <c r="H85" s="4">
        <v>31000</v>
      </c>
      <c r="I85" s="5">
        <v>45445</v>
      </c>
      <c r="J85" s="4">
        <v>2.2999999999999998</v>
      </c>
      <c r="K85" s="4" t="str" cm="1">
        <f t="array" ref="K85">_xlfn.IFS(Table1[[#This Row],[Years_of_Service]]&lt;=2, "0-2 Years", Table1[[#This Row],[Years_of_Service]]&lt;=5, "3-5 Years", Table1[[#This Row],[Years_of_Service]]&lt;=8, "6-8 Years", TRUE, "8 Years")</f>
        <v>3-5 Years</v>
      </c>
      <c r="L85" s="4" t="s">
        <v>31</v>
      </c>
      <c r="M85" s="4">
        <v>59.6</v>
      </c>
      <c r="N85" s="4">
        <v>88.7</v>
      </c>
      <c r="O85" s="4">
        <v>9</v>
      </c>
      <c r="P85" s="4">
        <v>9</v>
      </c>
      <c r="Q85" s="4" t="s">
        <v>32</v>
      </c>
      <c r="R85" s="5"/>
      <c r="S85" s="4" t="s">
        <v>33</v>
      </c>
    </row>
    <row r="86" spans="1:19" x14ac:dyDescent="0.3">
      <c r="A86" s="4">
        <v>85</v>
      </c>
      <c r="B86" s="4" t="s">
        <v>155</v>
      </c>
      <c r="C86" s="4" t="s">
        <v>46</v>
      </c>
      <c r="D86" s="4">
        <v>38</v>
      </c>
      <c r="E86" s="4" t="str" cm="1">
        <f t="array" ref="E86">_xlfn.IFS(Table1[[#This Row],[Age]]&lt;=30, "18-30",Table1[[#This Row],[Age]]&lt;=40, "31-40", Table1[[#This Row],[Age]]&lt;=50, "41-50", TRUE, "51-65")</f>
        <v>31-40</v>
      </c>
      <c r="F86" s="4" t="s">
        <v>41</v>
      </c>
      <c r="G86" s="4" t="s">
        <v>71</v>
      </c>
      <c r="H86" s="4">
        <v>24000</v>
      </c>
      <c r="I86" s="5">
        <v>43499</v>
      </c>
      <c r="J86" s="4">
        <v>7.7</v>
      </c>
      <c r="K86" s="4" t="str" cm="1">
        <f t="array" ref="K86">_xlfn.IFS(Table1[[#This Row],[Years_of_Service]]&lt;=2, "0-2 Years", Table1[[#This Row],[Years_of_Service]]&lt;=5, "3-5 Years", Table1[[#This Row],[Years_of_Service]]&lt;=8, "6-8 Years", TRUE, "8 Years")</f>
        <v>6-8 Years</v>
      </c>
      <c r="L86" s="4" t="s">
        <v>98</v>
      </c>
      <c r="M86" s="4">
        <v>87</v>
      </c>
      <c r="N86" s="4">
        <v>82.9</v>
      </c>
      <c r="O86" s="4">
        <v>24</v>
      </c>
      <c r="P86" s="4">
        <v>7</v>
      </c>
      <c r="Q86" s="4" t="s">
        <v>38</v>
      </c>
      <c r="R86" s="5">
        <v>45793</v>
      </c>
      <c r="S86" s="4" t="s">
        <v>44</v>
      </c>
    </row>
    <row r="87" spans="1:19" x14ac:dyDescent="0.3">
      <c r="A87" s="4">
        <v>86</v>
      </c>
      <c r="B87" s="4" t="s">
        <v>156</v>
      </c>
      <c r="C87" s="4" t="s">
        <v>28</v>
      </c>
      <c r="D87" s="4">
        <v>33</v>
      </c>
      <c r="E87" s="4" t="str" cm="1">
        <f t="array" ref="E87">_xlfn.IFS(Table1[[#This Row],[Age]]&lt;=30, "18-30",Table1[[#This Row],[Age]]&lt;=40, "31-40", Table1[[#This Row],[Age]]&lt;=50, "41-50", TRUE, "51-65")</f>
        <v>31-40</v>
      </c>
      <c r="F87" s="4" t="s">
        <v>41</v>
      </c>
      <c r="G87" s="4" t="s">
        <v>96</v>
      </c>
      <c r="H87" s="4">
        <v>31000</v>
      </c>
      <c r="I87" s="5">
        <v>46009</v>
      </c>
      <c r="J87" s="4">
        <v>0.8</v>
      </c>
      <c r="K87" s="4" t="str" cm="1">
        <f t="array" ref="K87">_xlfn.IFS(Table1[[#This Row],[Years_of_Service]]&lt;=2, "0-2 Years", Table1[[#This Row],[Years_of_Service]]&lt;=5, "3-5 Years", Table1[[#This Row],[Years_of_Service]]&lt;=8, "6-8 Years", TRUE, "8 Years")</f>
        <v>0-2 Years</v>
      </c>
      <c r="L87" s="4" t="s">
        <v>49</v>
      </c>
      <c r="M87" s="4">
        <v>65.8</v>
      </c>
      <c r="N87" s="4">
        <v>95.2</v>
      </c>
      <c r="O87" s="4">
        <v>3</v>
      </c>
      <c r="P87" s="4">
        <v>1</v>
      </c>
      <c r="Q87" s="4" t="s">
        <v>32</v>
      </c>
      <c r="R87" s="5"/>
      <c r="S87" s="4" t="s">
        <v>39</v>
      </c>
    </row>
    <row r="88" spans="1:19" x14ac:dyDescent="0.3">
      <c r="A88" s="4">
        <v>87</v>
      </c>
      <c r="B88" s="4" t="s">
        <v>157</v>
      </c>
      <c r="C88" s="4" t="s">
        <v>28</v>
      </c>
      <c r="D88" s="4">
        <v>58</v>
      </c>
      <c r="E88" s="4" t="str" cm="1">
        <f t="array" ref="E88">_xlfn.IFS(Table1[[#This Row],[Age]]&lt;=30, "18-30",Table1[[#This Row],[Age]]&lt;=40, "31-40", Table1[[#This Row],[Age]]&lt;=50, "41-50", TRUE, "51-65")</f>
        <v>51-65</v>
      </c>
      <c r="F88" s="4" t="s">
        <v>41</v>
      </c>
      <c r="G88" s="4" t="s">
        <v>96</v>
      </c>
      <c r="H88" s="4">
        <v>35000</v>
      </c>
      <c r="I88" s="5">
        <v>44960</v>
      </c>
      <c r="J88" s="4">
        <v>3.7</v>
      </c>
      <c r="K88" s="4" t="str" cm="1">
        <f t="array" ref="K88">_xlfn.IFS(Table1[[#This Row],[Years_of_Service]]&lt;=2, "0-2 Years", Table1[[#This Row],[Years_of_Service]]&lt;=5, "3-5 Years", Table1[[#This Row],[Years_of_Service]]&lt;=8, "6-8 Years", TRUE, "8 Years")</f>
        <v>3-5 Years</v>
      </c>
      <c r="L88" s="4" t="s">
        <v>37</v>
      </c>
      <c r="M88" s="4">
        <v>67.7</v>
      </c>
      <c r="N88" s="4">
        <v>95.1</v>
      </c>
      <c r="O88" s="4">
        <v>4</v>
      </c>
      <c r="P88" s="4">
        <v>17</v>
      </c>
      <c r="Q88" s="4" t="s">
        <v>32</v>
      </c>
      <c r="R88" s="5"/>
      <c r="S88" s="4" t="s">
        <v>39</v>
      </c>
    </row>
    <row r="89" spans="1:19" x14ac:dyDescent="0.3">
      <c r="A89" s="4">
        <v>88</v>
      </c>
      <c r="B89" s="4" t="s">
        <v>158</v>
      </c>
      <c r="C89" s="4" t="s">
        <v>46</v>
      </c>
      <c r="D89" s="4">
        <v>31</v>
      </c>
      <c r="E89" s="4" t="str" cm="1">
        <f t="array" ref="E89">_xlfn.IFS(Table1[[#This Row],[Age]]&lt;=30, "18-30",Table1[[#This Row],[Age]]&lt;=40, "31-40", Table1[[#This Row],[Age]]&lt;=50, "41-50", TRUE, "51-65")</f>
        <v>31-40</v>
      </c>
      <c r="F89" s="4" t="s">
        <v>85</v>
      </c>
      <c r="G89" s="4" t="s">
        <v>108</v>
      </c>
      <c r="H89" s="4">
        <v>38000</v>
      </c>
      <c r="I89" s="5">
        <v>44518</v>
      </c>
      <c r="J89" s="4">
        <v>4.9000000000000004</v>
      </c>
      <c r="K89" s="4" t="str" cm="1">
        <f t="array" ref="K89">_xlfn.IFS(Table1[[#This Row],[Years_of_Service]]&lt;=2, "0-2 Years", Table1[[#This Row],[Years_of_Service]]&lt;=5, "3-5 Years", Table1[[#This Row],[Years_of_Service]]&lt;=8, "6-8 Years", TRUE, "8 Years")</f>
        <v>3-5 Years</v>
      </c>
      <c r="L89" s="4" t="s">
        <v>49</v>
      </c>
      <c r="M89" s="4">
        <v>94.3</v>
      </c>
      <c r="N89" s="4">
        <v>98.5</v>
      </c>
      <c r="O89" s="4">
        <v>10</v>
      </c>
      <c r="P89" s="4">
        <v>3</v>
      </c>
      <c r="Q89" s="4" t="s">
        <v>32</v>
      </c>
      <c r="R89" s="5"/>
      <c r="S89" s="4" t="s">
        <v>75</v>
      </c>
    </row>
    <row r="90" spans="1:19" x14ac:dyDescent="0.3">
      <c r="A90" s="4">
        <v>89</v>
      </c>
      <c r="B90" s="4" t="s">
        <v>159</v>
      </c>
      <c r="C90" s="4" t="s">
        <v>28</v>
      </c>
      <c r="D90" s="4">
        <v>46</v>
      </c>
      <c r="E90" s="4" t="str" cm="1">
        <f t="array" ref="E90">_xlfn.IFS(Table1[[#This Row],[Age]]&lt;=30, "18-30",Table1[[#This Row],[Age]]&lt;=40, "31-40", Table1[[#This Row],[Age]]&lt;=50, "41-50", TRUE, "51-65")</f>
        <v>41-50</v>
      </c>
      <c r="F90" s="4" t="s">
        <v>35</v>
      </c>
      <c r="G90" s="4" t="s">
        <v>36</v>
      </c>
      <c r="H90" s="4">
        <v>40000</v>
      </c>
      <c r="I90" s="5">
        <v>45748</v>
      </c>
      <c r="J90" s="4">
        <v>1.5</v>
      </c>
      <c r="K90" s="4" t="str" cm="1">
        <f t="array" ref="K90">_xlfn.IFS(Table1[[#This Row],[Years_of_Service]]&lt;=2, "0-2 Years", Table1[[#This Row],[Years_of_Service]]&lt;=5, "3-5 Years", Table1[[#This Row],[Years_of_Service]]&lt;=8, "6-8 Years", TRUE, "8 Years")</f>
        <v>0-2 Years</v>
      </c>
      <c r="L90" s="4" t="s">
        <v>98</v>
      </c>
      <c r="M90" s="4">
        <v>55.6</v>
      </c>
      <c r="N90" s="4">
        <v>91.4</v>
      </c>
      <c r="O90" s="4">
        <v>21</v>
      </c>
      <c r="P90" s="4">
        <v>8</v>
      </c>
      <c r="Q90" s="4" t="s">
        <v>32</v>
      </c>
      <c r="R90" s="5"/>
      <c r="S90" s="4" t="s">
        <v>44</v>
      </c>
    </row>
    <row r="91" spans="1:19" x14ac:dyDescent="0.3">
      <c r="A91" s="4">
        <v>90</v>
      </c>
      <c r="B91" s="4" t="s">
        <v>160</v>
      </c>
      <c r="C91" s="4" t="s">
        <v>46</v>
      </c>
      <c r="D91" s="4">
        <v>27</v>
      </c>
      <c r="E91" s="4" t="str" cm="1">
        <f t="array" ref="E91">_xlfn.IFS(Table1[[#This Row],[Age]]&lt;=30, "18-30",Table1[[#This Row],[Age]]&lt;=40, "31-40", Table1[[#This Row],[Age]]&lt;=50, "41-50", TRUE, "51-65")</f>
        <v>18-30</v>
      </c>
      <c r="F91" s="4" t="s">
        <v>58</v>
      </c>
      <c r="G91" s="4" t="s">
        <v>78</v>
      </c>
      <c r="H91" s="4">
        <v>67000</v>
      </c>
      <c r="I91" s="5">
        <v>46230</v>
      </c>
      <c r="J91" s="4">
        <v>0.2</v>
      </c>
      <c r="K91" s="4" t="str" cm="1">
        <f t="array" ref="K91">_xlfn.IFS(Table1[[#This Row],[Years_of_Service]]&lt;=2, "0-2 Years", Table1[[#This Row],[Years_of_Service]]&lt;=5, "3-5 Years", Table1[[#This Row],[Years_of_Service]]&lt;=8, "6-8 Years", TRUE, "8 Years")</f>
        <v>0-2 Years</v>
      </c>
      <c r="L91" s="4" t="s">
        <v>98</v>
      </c>
      <c r="M91" s="4">
        <v>65.099999999999994</v>
      </c>
      <c r="N91" s="4">
        <v>82.4</v>
      </c>
      <c r="O91" s="4">
        <v>19</v>
      </c>
      <c r="P91" s="4">
        <v>7</v>
      </c>
      <c r="Q91" s="4" t="s">
        <v>32</v>
      </c>
      <c r="R91" s="5"/>
      <c r="S91" s="4" t="s">
        <v>33</v>
      </c>
    </row>
    <row r="92" spans="1:19" x14ac:dyDescent="0.3">
      <c r="A92" s="4">
        <v>91</v>
      </c>
      <c r="B92" s="4" t="s">
        <v>161</v>
      </c>
      <c r="C92" s="4" t="s">
        <v>46</v>
      </c>
      <c r="D92" s="4">
        <v>47</v>
      </c>
      <c r="E92" s="4" t="str" cm="1">
        <f t="array" ref="E92">_xlfn.IFS(Table1[[#This Row],[Age]]&lt;=30, "18-30",Table1[[#This Row],[Age]]&lt;=40, "31-40", Table1[[#This Row],[Age]]&lt;=50, "41-50", TRUE, "51-65")</f>
        <v>41-50</v>
      </c>
      <c r="F92" s="4" t="s">
        <v>29</v>
      </c>
      <c r="G92" s="4" t="s">
        <v>93</v>
      </c>
      <c r="H92" s="4">
        <v>61000</v>
      </c>
      <c r="I92" s="5">
        <v>43943</v>
      </c>
      <c r="J92" s="4">
        <v>6.5</v>
      </c>
      <c r="K92" s="4" t="str" cm="1">
        <f t="array" ref="K92">_xlfn.IFS(Table1[[#This Row],[Years_of_Service]]&lt;=2, "0-2 Years", Table1[[#This Row],[Years_of_Service]]&lt;=5, "3-5 Years", Table1[[#This Row],[Years_of_Service]]&lt;=8, "6-8 Years", TRUE, "8 Years")</f>
        <v>6-8 Years</v>
      </c>
      <c r="L92" s="4" t="s">
        <v>37</v>
      </c>
      <c r="M92" s="4">
        <v>68.099999999999994</v>
      </c>
      <c r="N92" s="4">
        <v>90.6</v>
      </c>
      <c r="O92" s="4">
        <v>17</v>
      </c>
      <c r="P92" s="4">
        <v>4</v>
      </c>
      <c r="Q92" s="4" t="s">
        <v>32</v>
      </c>
      <c r="R92" s="5"/>
      <c r="S92" s="4" t="s">
        <v>75</v>
      </c>
    </row>
    <row r="93" spans="1:19" x14ac:dyDescent="0.3">
      <c r="A93" s="4">
        <v>92</v>
      </c>
      <c r="B93" s="4" t="s">
        <v>162</v>
      </c>
      <c r="C93" s="4" t="s">
        <v>46</v>
      </c>
      <c r="D93" s="4">
        <v>58</v>
      </c>
      <c r="E93" s="4" t="str" cm="1">
        <f t="array" ref="E93">_xlfn.IFS(Table1[[#This Row],[Age]]&lt;=30, "18-30",Table1[[#This Row],[Age]]&lt;=40, "31-40", Table1[[#This Row],[Age]]&lt;=50, "41-50", TRUE, "51-65")</f>
        <v>51-65</v>
      </c>
      <c r="F93" s="4" t="s">
        <v>58</v>
      </c>
      <c r="G93" s="4" t="s">
        <v>59</v>
      </c>
      <c r="H93" s="4">
        <v>73000</v>
      </c>
      <c r="I93" s="5">
        <v>44098</v>
      </c>
      <c r="J93" s="4">
        <v>6</v>
      </c>
      <c r="K93" s="4" t="str" cm="1">
        <f t="array" ref="K93">_xlfn.IFS(Table1[[#This Row],[Years_of_Service]]&lt;=2, "0-2 Years", Table1[[#This Row],[Years_of_Service]]&lt;=5, "3-5 Years", Table1[[#This Row],[Years_of_Service]]&lt;=8, "6-8 Years", TRUE, "8 Years")</f>
        <v>6-8 Years</v>
      </c>
      <c r="L93" s="4" t="s">
        <v>31</v>
      </c>
      <c r="M93" s="4">
        <v>93.1</v>
      </c>
      <c r="N93" s="4">
        <v>93.5</v>
      </c>
      <c r="O93" s="4">
        <v>13</v>
      </c>
      <c r="P93" s="4">
        <v>8</v>
      </c>
      <c r="Q93" s="4" t="s">
        <v>32</v>
      </c>
      <c r="R93" s="5"/>
      <c r="S93" s="4" t="s">
        <v>33</v>
      </c>
    </row>
    <row r="94" spans="1:19" x14ac:dyDescent="0.3">
      <c r="A94" s="4">
        <v>93</v>
      </c>
      <c r="B94" s="4" t="s">
        <v>163</v>
      </c>
      <c r="C94" s="4" t="s">
        <v>28</v>
      </c>
      <c r="D94" s="4">
        <v>49</v>
      </c>
      <c r="E94" s="4" t="str" cm="1">
        <f t="array" ref="E94">_xlfn.IFS(Table1[[#This Row],[Age]]&lt;=30, "18-30",Table1[[#This Row],[Age]]&lt;=40, "31-40", Table1[[#This Row],[Age]]&lt;=50, "41-50", TRUE, "51-65")</f>
        <v>41-50</v>
      </c>
      <c r="F94" s="4" t="s">
        <v>29</v>
      </c>
      <c r="G94" s="4" t="s">
        <v>93</v>
      </c>
      <c r="H94" s="4">
        <v>64000</v>
      </c>
      <c r="I94" s="5">
        <v>45287</v>
      </c>
      <c r="J94" s="4">
        <v>2.8</v>
      </c>
      <c r="K94" s="4" t="str" cm="1">
        <f t="array" ref="K94">_xlfn.IFS(Table1[[#This Row],[Years_of_Service]]&lt;=2, "0-2 Years", Table1[[#This Row],[Years_of_Service]]&lt;=5, "3-5 Years", Table1[[#This Row],[Years_of_Service]]&lt;=8, "6-8 Years", TRUE, "8 Years")</f>
        <v>3-5 Years</v>
      </c>
      <c r="L94" s="4" t="s">
        <v>98</v>
      </c>
      <c r="M94" s="4">
        <v>59.3</v>
      </c>
      <c r="N94" s="4">
        <v>94</v>
      </c>
      <c r="O94" s="4">
        <v>1</v>
      </c>
      <c r="P94" s="4">
        <v>12</v>
      </c>
      <c r="Q94" s="4" t="s">
        <v>38</v>
      </c>
      <c r="R94" s="5">
        <v>45641</v>
      </c>
      <c r="S94" s="4" t="s">
        <v>39</v>
      </c>
    </row>
    <row r="95" spans="1:19" x14ac:dyDescent="0.3">
      <c r="A95" s="4">
        <v>94</v>
      </c>
      <c r="B95" s="4" t="s">
        <v>164</v>
      </c>
      <c r="C95" s="4" t="s">
        <v>46</v>
      </c>
      <c r="D95" s="4">
        <v>26</v>
      </c>
      <c r="E95" s="4" t="str" cm="1">
        <f t="array" ref="E95">_xlfn.IFS(Table1[[#This Row],[Age]]&lt;=30, "18-30",Table1[[#This Row],[Age]]&lt;=40, "31-40", Table1[[#This Row],[Age]]&lt;=50, "41-50", TRUE, "51-65")</f>
        <v>18-30</v>
      </c>
      <c r="F95" s="4" t="s">
        <v>51</v>
      </c>
      <c r="G95" s="4" t="s">
        <v>73</v>
      </c>
      <c r="H95" s="4">
        <v>36000</v>
      </c>
      <c r="I95" s="5">
        <v>46180</v>
      </c>
      <c r="J95" s="4">
        <v>0.3</v>
      </c>
      <c r="K95" s="4" t="str" cm="1">
        <f t="array" ref="K95">_xlfn.IFS(Table1[[#This Row],[Years_of_Service]]&lt;=2, "0-2 Years", Table1[[#This Row],[Years_of_Service]]&lt;=5, "3-5 Years", Table1[[#This Row],[Years_of_Service]]&lt;=8, "6-8 Years", TRUE, "8 Years")</f>
        <v>0-2 Years</v>
      </c>
      <c r="L95" s="4" t="s">
        <v>43</v>
      </c>
      <c r="M95" s="4">
        <v>64.099999999999994</v>
      </c>
      <c r="N95" s="4">
        <v>93.2</v>
      </c>
      <c r="O95" s="4">
        <v>10</v>
      </c>
      <c r="P95" s="4">
        <v>7</v>
      </c>
      <c r="Q95" s="4" t="s">
        <v>32</v>
      </c>
      <c r="R95" s="5"/>
      <c r="S95" s="4" t="s">
        <v>60</v>
      </c>
    </row>
    <row r="96" spans="1:19" x14ac:dyDescent="0.3">
      <c r="A96" s="4">
        <v>95</v>
      </c>
      <c r="B96" s="4" t="s">
        <v>165</v>
      </c>
      <c r="C96" s="4" t="s">
        <v>28</v>
      </c>
      <c r="D96" s="4">
        <v>25</v>
      </c>
      <c r="E96" s="4" t="str" cm="1">
        <f t="array" ref="E96">_xlfn.IFS(Table1[[#This Row],[Age]]&lt;=30, "18-30",Table1[[#This Row],[Age]]&lt;=40, "31-40", Table1[[#This Row],[Age]]&lt;=50, "41-50", TRUE, "51-65")</f>
        <v>18-30</v>
      </c>
      <c r="F96" s="4" t="s">
        <v>41</v>
      </c>
      <c r="G96" s="4" t="s">
        <v>71</v>
      </c>
      <c r="H96" s="4">
        <v>37000</v>
      </c>
      <c r="I96" s="5">
        <v>45736</v>
      </c>
      <c r="J96" s="4">
        <v>1.5</v>
      </c>
      <c r="K96" s="4" t="str" cm="1">
        <f t="array" ref="K96">_xlfn.IFS(Table1[[#This Row],[Years_of_Service]]&lt;=2, "0-2 Years", Table1[[#This Row],[Years_of_Service]]&lt;=5, "3-5 Years", Table1[[#This Row],[Years_of_Service]]&lt;=8, "6-8 Years", TRUE, "8 Years")</f>
        <v>0-2 Years</v>
      </c>
      <c r="L96" s="4" t="s">
        <v>31</v>
      </c>
      <c r="M96" s="4">
        <v>92.4</v>
      </c>
      <c r="N96" s="4">
        <v>87.7</v>
      </c>
      <c r="O96" s="4">
        <v>0</v>
      </c>
      <c r="P96" s="4">
        <v>8</v>
      </c>
      <c r="Q96" s="4" t="s">
        <v>32</v>
      </c>
      <c r="R96" s="5"/>
      <c r="S96" s="4" t="s">
        <v>60</v>
      </c>
    </row>
    <row r="97" spans="1:19" x14ac:dyDescent="0.3">
      <c r="A97" s="4">
        <v>96</v>
      </c>
      <c r="B97" s="4" t="s">
        <v>166</v>
      </c>
      <c r="C97" s="4" t="s">
        <v>46</v>
      </c>
      <c r="D97" s="4">
        <v>32</v>
      </c>
      <c r="E97" s="4" t="str" cm="1">
        <f t="array" ref="E97">_xlfn.IFS(Table1[[#This Row],[Age]]&lt;=30, "18-30",Table1[[#This Row],[Age]]&lt;=40, "31-40", Table1[[#This Row],[Age]]&lt;=50, "41-50", TRUE, "51-65")</f>
        <v>31-40</v>
      </c>
      <c r="F97" s="4" t="s">
        <v>51</v>
      </c>
      <c r="G97" s="4" t="s">
        <v>52</v>
      </c>
      <c r="H97" s="4">
        <v>48000</v>
      </c>
      <c r="I97" s="5">
        <v>43916</v>
      </c>
      <c r="J97" s="4">
        <v>6.5</v>
      </c>
      <c r="K97" s="4" t="str" cm="1">
        <f t="array" ref="K97">_xlfn.IFS(Table1[[#This Row],[Years_of_Service]]&lt;=2, "0-2 Years", Table1[[#This Row],[Years_of_Service]]&lt;=5, "3-5 Years", Table1[[#This Row],[Years_of_Service]]&lt;=8, "6-8 Years", TRUE, "8 Years")</f>
        <v>6-8 Years</v>
      </c>
      <c r="L97" s="4" t="s">
        <v>98</v>
      </c>
      <c r="M97" s="4">
        <v>83.4</v>
      </c>
      <c r="N97" s="4">
        <v>82.5</v>
      </c>
      <c r="O97" s="4">
        <v>7</v>
      </c>
      <c r="P97" s="4">
        <v>18</v>
      </c>
      <c r="Q97" s="4" t="s">
        <v>32</v>
      </c>
      <c r="R97" s="5"/>
      <c r="S97" s="4" t="s">
        <v>39</v>
      </c>
    </row>
    <row r="98" spans="1:19" x14ac:dyDescent="0.3">
      <c r="A98" s="4">
        <v>97</v>
      </c>
      <c r="B98" s="4" t="s">
        <v>167</v>
      </c>
      <c r="C98" s="4" t="s">
        <v>46</v>
      </c>
      <c r="D98" s="4">
        <v>24</v>
      </c>
      <c r="E98" s="4" t="str" cm="1">
        <f t="array" ref="E98">_xlfn.IFS(Table1[[#This Row],[Age]]&lt;=30, "18-30",Table1[[#This Row],[Age]]&lt;=40, "31-40", Table1[[#This Row],[Age]]&lt;=50, "41-50", TRUE, "51-65")</f>
        <v>18-30</v>
      </c>
      <c r="F98" s="4" t="s">
        <v>35</v>
      </c>
      <c r="G98" s="4" t="s">
        <v>36</v>
      </c>
      <c r="H98" s="4">
        <v>54000</v>
      </c>
      <c r="I98" s="5">
        <v>43985</v>
      </c>
      <c r="J98" s="4">
        <v>6.3</v>
      </c>
      <c r="K98" s="4" t="str" cm="1">
        <f t="array" ref="K98">_xlfn.IFS(Table1[[#This Row],[Years_of_Service]]&lt;=2, "0-2 Years", Table1[[#This Row],[Years_of_Service]]&lt;=5, "3-5 Years", Table1[[#This Row],[Years_of_Service]]&lt;=8, "6-8 Years", TRUE, "8 Years")</f>
        <v>6-8 Years</v>
      </c>
      <c r="L98" s="4" t="s">
        <v>31</v>
      </c>
      <c r="M98" s="4">
        <v>87.1</v>
      </c>
      <c r="N98" s="4">
        <v>90.3</v>
      </c>
      <c r="O98" s="4">
        <v>18</v>
      </c>
      <c r="P98" s="4">
        <v>3</v>
      </c>
      <c r="Q98" s="4" t="s">
        <v>32</v>
      </c>
      <c r="R98" s="5"/>
      <c r="S98" s="4" t="s">
        <v>75</v>
      </c>
    </row>
    <row r="99" spans="1:19" x14ac:dyDescent="0.3">
      <c r="A99" s="4">
        <v>98</v>
      </c>
      <c r="B99" s="4" t="s">
        <v>168</v>
      </c>
      <c r="C99" s="4" t="s">
        <v>28</v>
      </c>
      <c r="D99" s="4">
        <v>54</v>
      </c>
      <c r="E99" s="4" t="str" cm="1">
        <f t="array" ref="E99">_xlfn.IFS(Table1[[#This Row],[Age]]&lt;=30, "18-30",Table1[[#This Row],[Age]]&lt;=40, "31-40", Table1[[#This Row],[Age]]&lt;=50, "41-50", TRUE, "51-65")</f>
        <v>51-65</v>
      </c>
      <c r="F99" s="4" t="s">
        <v>85</v>
      </c>
      <c r="G99" s="4" t="s">
        <v>103</v>
      </c>
      <c r="H99" s="4">
        <v>31000</v>
      </c>
      <c r="I99" s="5">
        <v>44701</v>
      </c>
      <c r="J99" s="4">
        <v>4.4000000000000004</v>
      </c>
      <c r="K99" s="4" t="str" cm="1">
        <f t="array" ref="K99">_xlfn.IFS(Table1[[#This Row],[Years_of_Service]]&lt;=2, "0-2 Years", Table1[[#This Row],[Years_of_Service]]&lt;=5, "3-5 Years", Table1[[#This Row],[Years_of_Service]]&lt;=8, "6-8 Years", TRUE, "8 Years")</f>
        <v>3-5 Years</v>
      </c>
      <c r="L99" s="4" t="s">
        <v>53</v>
      </c>
      <c r="M99" s="4">
        <v>74.7</v>
      </c>
      <c r="N99" s="4">
        <v>98.9</v>
      </c>
      <c r="O99" s="4">
        <v>12</v>
      </c>
      <c r="P99" s="4">
        <v>13</v>
      </c>
      <c r="Q99" s="4" t="s">
        <v>32</v>
      </c>
      <c r="R99" s="5"/>
      <c r="S99" s="4" t="s">
        <v>33</v>
      </c>
    </row>
    <row r="100" spans="1:19" x14ac:dyDescent="0.3">
      <c r="A100" s="4">
        <v>99</v>
      </c>
      <c r="B100" s="4" t="s">
        <v>169</v>
      </c>
      <c r="C100" s="4" t="s">
        <v>46</v>
      </c>
      <c r="D100" s="4">
        <v>25</v>
      </c>
      <c r="E100" s="4" t="str" cm="1">
        <f t="array" ref="E100">_xlfn.IFS(Table1[[#This Row],[Age]]&lt;=30, "18-30",Table1[[#This Row],[Age]]&lt;=40, "31-40", Table1[[#This Row],[Age]]&lt;=50, "41-50", TRUE, "51-65")</f>
        <v>18-30</v>
      </c>
      <c r="F100" s="4" t="s">
        <v>58</v>
      </c>
      <c r="G100" s="4" t="s">
        <v>78</v>
      </c>
      <c r="H100" s="4">
        <v>49000</v>
      </c>
      <c r="I100" s="5">
        <v>43796</v>
      </c>
      <c r="J100" s="4">
        <v>6.9</v>
      </c>
      <c r="K100" s="4" t="str" cm="1">
        <f t="array" ref="K100">_xlfn.IFS(Table1[[#This Row],[Years_of_Service]]&lt;=2, "0-2 Years", Table1[[#This Row],[Years_of_Service]]&lt;=5, "3-5 Years", Table1[[#This Row],[Years_of_Service]]&lt;=8, "6-8 Years", TRUE, "8 Years")</f>
        <v>6-8 Years</v>
      </c>
      <c r="L100" s="4" t="s">
        <v>49</v>
      </c>
      <c r="M100" s="4">
        <v>60.4</v>
      </c>
      <c r="N100" s="4">
        <v>92.9</v>
      </c>
      <c r="O100" s="4">
        <v>10</v>
      </c>
      <c r="P100" s="4">
        <v>12</v>
      </c>
      <c r="Q100" s="4" t="s">
        <v>38</v>
      </c>
      <c r="R100" s="5">
        <v>45740</v>
      </c>
      <c r="S100" s="4" t="s">
        <v>44</v>
      </c>
    </row>
    <row r="101" spans="1:19" x14ac:dyDescent="0.3">
      <c r="A101" s="4">
        <v>100</v>
      </c>
      <c r="B101" s="4" t="s">
        <v>170</v>
      </c>
      <c r="C101" s="4" t="s">
        <v>46</v>
      </c>
      <c r="D101" s="4">
        <v>53</v>
      </c>
      <c r="E101" s="4" t="str" cm="1">
        <f t="array" ref="E101">_xlfn.IFS(Table1[[#This Row],[Age]]&lt;=30, "18-30",Table1[[#This Row],[Age]]&lt;=40, "31-40", Table1[[#This Row],[Age]]&lt;=50, "41-50", TRUE, "51-65")</f>
        <v>51-65</v>
      </c>
      <c r="F101" s="4" t="s">
        <v>85</v>
      </c>
      <c r="G101" s="4" t="s">
        <v>86</v>
      </c>
      <c r="H101" s="4">
        <v>47000</v>
      </c>
      <c r="I101" s="5">
        <v>45945</v>
      </c>
      <c r="J101" s="4">
        <v>1</v>
      </c>
      <c r="K101" s="4" t="str" cm="1">
        <f t="array" ref="K101">_xlfn.IFS(Table1[[#This Row],[Years_of_Service]]&lt;=2, "0-2 Years", Table1[[#This Row],[Years_of_Service]]&lt;=5, "3-5 Years", Table1[[#This Row],[Years_of_Service]]&lt;=8, "6-8 Years", TRUE, "8 Years")</f>
        <v>0-2 Years</v>
      </c>
      <c r="L101" s="4" t="s">
        <v>49</v>
      </c>
      <c r="M101" s="4">
        <v>73.5</v>
      </c>
      <c r="N101" s="4">
        <v>95.9</v>
      </c>
      <c r="O101" s="4">
        <v>20</v>
      </c>
      <c r="P101" s="4">
        <v>17</v>
      </c>
      <c r="Q101" s="4" t="s">
        <v>32</v>
      </c>
      <c r="R101" s="5"/>
      <c r="S101" s="4" t="s">
        <v>60</v>
      </c>
    </row>
    <row r="102" spans="1:19" x14ac:dyDescent="0.3">
      <c r="A102" s="4">
        <v>101</v>
      </c>
      <c r="B102" s="4" t="s">
        <v>171</v>
      </c>
      <c r="C102" s="4" t="s">
        <v>28</v>
      </c>
      <c r="D102" s="4">
        <v>47</v>
      </c>
      <c r="E102" s="4" t="str" cm="1">
        <f t="array" ref="E102">_xlfn.IFS(Table1[[#This Row],[Age]]&lt;=30, "18-30",Table1[[#This Row],[Age]]&lt;=40, "31-40", Table1[[#This Row],[Age]]&lt;=50, "41-50", TRUE, "51-65")</f>
        <v>41-50</v>
      </c>
      <c r="F102" s="4" t="s">
        <v>58</v>
      </c>
      <c r="G102" s="4" t="s">
        <v>59</v>
      </c>
      <c r="H102" s="4">
        <v>57000</v>
      </c>
      <c r="I102" s="5">
        <v>44854</v>
      </c>
      <c r="J102" s="4">
        <v>4</v>
      </c>
      <c r="K102" s="4" t="str" cm="1">
        <f t="array" ref="K102">_xlfn.IFS(Table1[[#This Row],[Years_of_Service]]&lt;=2, "0-2 Years", Table1[[#This Row],[Years_of_Service]]&lt;=5, "3-5 Years", Table1[[#This Row],[Years_of_Service]]&lt;=8, "6-8 Years", TRUE, "8 Years")</f>
        <v>3-5 Years</v>
      </c>
      <c r="L102" s="4" t="s">
        <v>49</v>
      </c>
      <c r="M102" s="4">
        <v>86.4</v>
      </c>
      <c r="N102" s="4">
        <v>87.5</v>
      </c>
      <c r="O102" s="4">
        <v>8</v>
      </c>
      <c r="P102" s="4">
        <v>11</v>
      </c>
      <c r="Q102" s="4" t="s">
        <v>32</v>
      </c>
      <c r="R102" s="5"/>
      <c r="S102" s="4" t="s">
        <v>60</v>
      </c>
    </row>
    <row r="103" spans="1:19" x14ac:dyDescent="0.3">
      <c r="A103" s="4">
        <v>102</v>
      </c>
      <c r="B103" s="4" t="s">
        <v>172</v>
      </c>
      <c r="C103" s="4" t="s">
        <v>28</v>
      </c>
      <c r="D103" s="4">
        <v>26</v>
      </c>
      <c r="E103" s="4" t="str" cm="1">
        <f t="array" ref="E103">_xlfn.IFS(Table1[[#This Row],[Age]]&lt;=30, "18-30",Table1[[#This Row],[Age]]&lt;=40, "31-40", Table1[[#This Row],[Age]]&lt;=50, "41-50", TRUE, "51-65")</f>
        <v>18-30</v>
      </c>
      <c r="F103" s="4" t="s">
        <v>29</v>
      </c>
      <c r="G103" s="4" t="s">
        <v>93</v>
      </c>
      <c r="H103" s="4">
        <v>36000</v>
      </c>
      <c r="I103" s="5">
        <v>43815</v>
      </c>
      <c r="J103" s="4">
        <v>6.8</v>
      </c>
      <c r="K103" s="4" t="str" cm="1">
        <f t="array" ref="K103">_xlfn.IFS(Table1[[#This Row],[Years_of_Service]]&lt;=2, "0-2 Years", Table1[[#This Row],[Years_of_Service]]&lt;=5, "3-5 Years", Table1[[#This Row],[Years_of_Service]]&lt;=8, "6-8 Years", TRUE, "8 Years")</f>
        <v>6-8 Years</v>
      </c>
      <c r="L103" s="4" t="s">
        <v>37</v>
      </c>
      <c r="M103" s="4">
        <v>59</v>
      </c>
      <c r="N103" s="4">
        <v>83.7</v>
      </c>
      <c r="O103" s="4">
        <v>17</v>
      </c>
      <c r="P103" s="4">
        <v>1</v>
      </c>
      <c r="Q103" s="4" t="s">
        <v>32</v>
      </c>
      <c r="R103" s="5"/>
      <c r="S103" s="4" t="s">
        <v>44</v>
      </c>
    </row>
    <row r="104" spans="1:19" x14ac:dyDescent="0.3">
      <c r="A104" s="4">
        <v>103</v>
      </c>
      <c r="B104" s="4" t="s">
        <v>173</v>
      </c>
      <c r="C104" s="4" t="s">
        <v>46</v>
      </c>
      <c r="D104" s="4">
        <v>28</v>
      </c>
      <c r="E104" s="4" t="str" cm="1">
        <f t="array" ref="E104">_xlfn.IFS(Table1[[#This Row],[Age]]&lt;=30, "18-30",Table1[[#This Row],[Age]]&lt;=40, "31-40", Table1[[#This Row],[Age]]&lt;=50, "41-50", TRUE, "51-65")</f>
        <v>18-30</v>
      </c>
      <c r="F104" s="4" t="s">
        <v>85</v>
      </c>
      <c r="G104" s="4" t="s">
        <v>108</v>
      </c>
      <c r="H104" s="4">
        <v>34000</v>
      </c>
      <c r="I104" s="5">
        <v>45148</v>
      </c>
      <c r="J104" s="4">
        <v>3.2</v>
      </c>
      <c r="K104" s="4" t="str" cm="1">
        <f t="array" ref="K104">_xlfn.IFS(Table1[[#This Row],[Years_of_Service]]&lt;=2, "0-2 Years", Table1[[#This Row],[Years_of_Service]]&lt;=5, "3-5 Years", Table1[[#This Row],[Years_of_Service]]&lt;=8, "6-8 Years", TRUE, "8 Years")</f>
        <v>3-5 Years</v>
      </c>
      <c r="L104" s="4" t="s">
        <v>98</v>
      </c>
      <c r="M104" s="4">
        <v>87.3</v>
      </c>
      <c r="N104" s="4">
        <v>97.2</v>
      </c>
      <c r="O104" s="4">
        <v>19</v>
      </c>
      <c r="P104" s="4">
        <v>9</v>
      </c>
      <c r="Q104" s="4" t="s">
        <v>32</v>
      </c>
      <c r="R104" s="5"/>
      <c r="S104" s="4" t="s">
        <v>39</v>
      </c>
    </row>
    <row r="105" spans="1:19" x14ac:dyDescent="0.3">
      <c r="A105" s="4">
        <v>104</v>
      </c>
      <c r="B105" s="4" t="s">
        <v>174</v>
      </c>
      <c r="C105" s="4" t="s">
        <v>28</v>
      </c>
      <c r="D105" s="4">
        <v>51</v>
      </c>
      <c r="E105" s="4" t="str" cm="1">
        <f t="array" ref="E105">_xlfn.IFS(Table1[[#This Row],[Age]]&lt;=30, "18-30",Table1[[#This Row],[Age]]&lt;=40, "31-40", Table1[[#This Row],[Age]]&lt;=50, "41-50", TRUE, "51-65")</f>
        <v>51-65</v>
      </c>
      <c r="F105" s="4" t="s">
        <v>35</v>
      </c>
      <c r="G105" s="4" t="s">
        <v>36</v>
      </c>
      <c r="H105" s="4">
        <v>69000</v>
      </c>
      <c r="I105" s="5">
        <v>44384</v>
      </c>
      <c r="J105" s="4">
        <v>5.3</v>
      </c>
      <c r="K105" s="4" t="str" cm="1">
        <f t="array" ref="K105">_xlfn.IFS(Table1[[#This Row],[Years_of_Service]]&lt;=2, "0-2 Years", Table1[[#This Row],[Years_of_Service]]&lt;=5, "3-5 Years", Table1[[#This Row],[Years_of_Service]]&lt;=8, "6-8 Years", TRUE, "8 Years")</f>
        <v>6-8 Years</v>
      </c>
      <c r="L105" s="4" t="s">
        <v>43</v>
      </c>
      <c r="M105" s="4">
        <v>91.4</v>
      </c>
      <c r="N105" s="4">
        <v>88.1</v>
      </c>
      <c r="O105" s="4">
        <v>24</v>
      </c>
      <c r="P105" s="4">
        <v>8</v>
      </c>
      <c r="Q105" s="4" t="s">
        <v>38</v>
      </c>
      <c r="R105" s="5">
        <v>45925</v>
      </c>
      <c r="S105" s="4" t="s">
        <v>44</v>
      </c>
    </row>
    <row r="106" spans="1:19" x14ac:dyDescent="0.3">
      <c r="A106" s="4">
        <v>105</v>
      </c>
      <c r="B106" s="4" t="s">
        <v>175</v>
      </c>
      <c r="C106" s="4" t="s">
        <v>28</v>
      </c>
      <c r="D106" s="4">
        <v>38</v>
      </c>
      <c r="E106" s="4" t="str" cm="1">
        <f t="array" ref="E106">_xlfn.IFS(Table1[[#This Row],[Age]]&lt;=30, "18-30",Table1[[#This Row],[Age]]&lt;=40, "31-40", Table1[[#This Row],[Age]]&lt;=50, "41-50", TRUE, "51-65")</f>
        <v>31-40</v>
      </c>
      <c r="F106" s="4" t="s">
        <v>51</v>
      </c>
      <c r="G106" s="4" t="s">
        <v>55</v>
      </c>
      <c r="H106" s="4">
        <v>48000</v>
      </c>
      <c r="I106" s="5">
        <v>43584</v>
      </c>
      <c r="J106" s="4">
        <v>7.4</v>
      </c>
      <c r="K106" s="4" t="str" cm="1">
        <f t="array" ref="K106">_xlfn.IFS(Table1[[#This Row],[Years_of_Service]]&lt;=2, "0-2 Years", Table1[[#This Row],[Years_of_Service]]&lt;=5, "3-5 Years", Table1[[#This Row],[Years_of_Service]]&lt;=8, "6-8 Years", TRUE, "8 Years")</f>
        <v>6-8 Years</v>
      </c>
      <c r="L106" s="4" t="s">
        <v>37</v>
      </c>
      <c r="M106" s="4">
        <v>68.3</v>
      </c>
      <c r="N106" s="4">
        <v>87.9</v>
      </c>
      <c r="O106" s="4">
        <v>4</v>
      </c>
      <c r="P106" s="4">
        <v>18</v>
      </c>
      <c r="Q106" s="4" t="s">
        <v>32</v>
      </c>
      <c r="R106" s="5"/>
      <c r="S106" s="4" t="s">
        <v>75</v>
      </c>
    </row>
    <row r="107" spans="1:19" x14ac:dyDescent="0.3">
      <c r="A107" s="4">
        <v>106</v>
      </c>
      <c r="B107" s="4" t="s">
        <v>176</v>
      </c>
      <c r="C107" s="4" t="s">
        <v>28</v>
      </c>
      <c r="D107" s="4">
        <v>26</v>
      </c>
      <c r="E107" s="4" t="str" cm="1">
        <f t="array" ref="E107">_xlfn.IFS(Table1[[#This Row],[Age]]&lt;=30, "18-30",Table1[[#This Row],[Age]]&lt;=40, "31-40", Table1[[#This Row],[Age]]&lt;=50, "41-50", TRUE, "51-65")</f>
        <v>18-30</v>
      </c>
      <c r="F107" s="4" t="s">
        <v>35</v>
      </c>
      <c r="G107" s="4" t="s">
        <v>36</v>
      </c>
      <c r="H107" s="4">
        <v>72000</v>
      </c>
      <c r="I107" s="5">
        <v>45638</v>
      </c>
      <c r="J107" s="4">
        <v>1.8</v>
      </c>
      <c r="K107" s="4" t="str" cm="1">
        <f t="array" ref="K107">_xlfn.IFS(Table1[[#This Row],[Years_of_Service]]&lt;=2, "0-2 Years", Table1[[#This Row],[Years_of_Service]]&lt;=5, "3-5 Years", Table1[[#This Row],[Years_of_Service]]&lt;=8, "6-8 Years", TRUE, "8 Years")</f>
        <v>0-2 Years</v>
      </c>
      <c r="L107" s="4" t="s">
        <v>37</v>
      </c>
      <c r="M107" s="4">
        <v>64.3</v>
      </c>
      <c r="N107" s="4">
        <v>89.3</v>
      </c>
      <c r="O107" s="4">
        <v>11</v>
      </c>
      <c r="P107" s="4">
        <v>9</v>
      </c>
      <c r="Q107" s="4" t="s">
        <v>32</v>
      </c>
      <c r="R107" s="5"/>
      <c r="S107" s="4" t="s">
        <v>39</v>
      </c>
    </row>
    <row r="108" spans="1:19" x14ac:dyDescent="0.3">
      <c r="A108" s="4">
        <v>107</v>
      </c>
      <c r="B108" s="4" t="s">
        <v>177</v>
      </c>
      <c r="C108" s="4" t="s">
        <v>28</v>
      </c>
      <c r="D108" s="4">
        <v>24</v>
      </c>
      <c r="E108" s="4" t="str" cm="1">
        <f t="array" ref="E108">_xlfn.IFS(Table1[[#This Row],[Age]]&lt;=30, "18-30",Table1[[#This Row],[Age]]&lt;=40, "31-40", Table1[[#This Row],[Age]]&lt;=50, "41-50", TRUE, "51-65")</f>
        <v>18-30</v>
      </c>
      <c r="F108" s="4" t="s">
        <v>41</v>
      </c>
      <c r="G108" s="4" t="s">
        <v>71</v>
      </c>
      <c r="H108" s="4">
        <v>42000</v>
      </c>
      <c r="I108" s="5">
        <v>44103</v>
      </c>
      <c r="J108" s="4">
        <v>6</v>
      </c>
      <c r="K108" s="4" t="str" cm="1">
        <f t="array" ref="K108">_xlfn.IFS(Table1[[#This Row],[Years_of_Service]]&lt;=2, "0-2 Years", Table1[[#This Row],[Years_of_Service]]&lt;=5, "3-5 Years", Table1[[#This Row],[Years_of_Service]]&lt;=8, "6-8 Years", TRUE, "8 Years")</f>
        <v>6-8 Years</v>
      </c>
      <c r="L108" s="4" t="s">
        <v>53</v>
      </c>
      <c r="M108" s="4">
        <v>84</v>
      </c>
      <c r="N108" s="4">
        <v>86.8</v>
      </c>
      <c r="O108" s="4">
        <v>19</v>
      </c>
      <c r="P108" s="4">
        <v>14</v>
      </c>
      <c r="Q108" s="4" t="s">
        <v>32</v>
      </c>
      <c r="R108" s="5"/>
      <c r="S108" s="4" t="s">
        <v>75</v>
      </c>
    </row>
    <row r="109" spans="1:19" x14ac:dyDescent="0.3">
      <c r="A109" s="4">
        <v>108</v>
      </c>
      <c r="B109" s="4" t="s">
        <v>178</v>
      </c>
      <c r="C109" s="4" t="s">
        <v>28</v>
      </c>
      <c r="D109" s="4">
        <v>43</v>
      </c>
      <c r="E109" s="4" t="str" cm="1">
        <f t="array" ref="E109">_xlfn.IFS(Table1[[#This Row],[Age]]&lt;=30, "18-30",Table1[[#This Row],[Age]]&lt;=40, "31-40", Table1[[#This Row],[Age]]&lt;=50, "41-50", TRUE, "51-65")</f>
        <v>41-50</v>
      </c>
      <c r="F109" s="4" t="s">
        <v>47</v>
      </c>
      <c r="G109" s="4" t="s">
        <v>48</v>
      </c>
      <c r="H109" s="4">
        <v>56000</v>
      </c>
      <c r="I109" s="5">
        <v>45226</v>
      </c>
      <c r="J109" s="4">
        <v>2.9</v>
      </c>
      <c r="K109" s="4" t="str" cm="1">
        <f t="array" ref="K109">_xlfn.IFS(Table1[[#This Row],[Years_of_Service]]&lt;=2, "0-2 Years", Table1[[#This Row],[Years_of_Service]]&lt;=5, "3-5 Years", Table1[[#This Row],[Years_of_Service]]&lt;=8, "6-8 Years", TRUE, "8 Years")</f>
        <v>3-5 Years</v>
      </c>
      <c r="L109" s="4" t="s">
        <v>31</v>
      </c>
      <c r="M109" s="4">
        <v>59.8</v>
      </c>
      <c r="N109" s="4">
        <v>93.9</v>
      </c>
      <c r="O109" s="4">
        <v>21</v>
      </c>
      <c r="P109" s="4">
        <v>9</v>
      </c>
      <c r="Q109" s="4" t="s">
        <v>38</v>
      </c>
      <c r="R109" s="5">
        <v>45803</v>
      </c>
      <c r="S109" s="4" t="s">
        <v>33</v>
      </c>
    </row>
    <row r="110" spans="1:19" x14ac:dyDescent="0.3">
      <c r="A110" s="4">
        <v>109</v>
      </c>
      <c r="B110" s="4" t="s">
        <v>179</v>
      </c>
      <c r="C110" s="4" t="s">
        <v>28</v>
      </c>
      <c r="D110" s="4">
        <v>21</v>
      </c>
      <c r="E110" s="4" t="str" cm="1">
        <f t="array" ref="E110">_xlfn.IFS(Table1[[#This Row],[Age]]&lt;=30, "18-30",Table1[[#This Row],[Age]]&lt;=40, "31-40", Table1[[#This Row],[Age]]&lt;=50, "41-50", TRUE, "51-65")</f>
        <v>18-30</v>
      </c>
      <c r="F110" s="4" t="s">
        <v>51</v>
      </c>
      <c r="G110" s="4" t="s">
        <v>55</v>
      </c>
      <c r="H110" s="4">
        <v>39000</v>
      </c>
      <c r="I110" s="5">
        <v>44303</v>
      </c>
      <c r="J110" s="4">
        <v>5.5</v>
      </c>
      <c r="K110" s="4" t="str" cm="1">
        <f t="array" ref="K110">_xlfn.IFS(Table1[[#This Row],[Years_of_Service]]&lt;=2, "0-2 Years", Table1[[#This Row],[Years_of_Service]]&lt;=5, "3-5 Years", Table1[[#This Row],[Years_of_Service]]&lt;=8, "6-8 Years", TRUE, "8 Years")</f>
        <v>6-8 Years</v>
      </c>
      <c r="L110" s="4" t="s">
        <v>43</v>
      </c>
      <c r="M110" s="4">
        <v>60.9</v>
      </c>
      <c r="N110" s="4">
        <v>86.5</v>
      </c>
      <c r="O110" s="4">
        <v>0</v>
      </c>
      <c r="P110" s="4">
        <v>15</v>
      </c>
      <c r="Q110" s="4" t="s">
        <v>32</v>
      </c>
      <c r="R110" s="5"/>
      <c r="S110" s="4" t="s">
        <v>75</v>
      </c>
    </row>
    <row r="111" spans="1:19" x14ac:dyDescent="0.3">
      <c r="A111" s="4">
        <v>110</v>
      </c>
      <c r="B111" s="4" t="s">
        <v>180</v>
      </c>
      <c r="C111" s="4" t="s">
        <v>46</v>
      </c>
      <c r="D111" s="4">
        <v>55</v>
      </c>
      <c r="E111" s="4" t="str" cm="1">
        <f t="array" ref="E111">_xlfn.IFS(Table1[[#This Row],[Age]]&lt;=30, "18-30",Table1[[#This Row],[Age]]&lt;=40, "31-40", Table1[[#This Row],[Age]]&lt;=50, "41-50", TRUE, "51-65")</f>
        <v>51-65</v>
      </c>
      <c r="F111" s="4" t="s">
        <v>51</v>
      </c>
      <c r="G111" s="4" t="s">
        <v>73</v>
      </c>
      <c r="H111" s="4">
        <v>48000</v>
      </c>
      <c r="I111" s="5">
        <v>44408</v>
      </c>
      <c r="J111" s="4">
        <v>5.2</v>
      </c>
      <c r="K111" s="4" t="str" cm="1">
        <f t="array" ref="K111">_xlfn.IFS(Table1[[#This Row],[Years_of_Service]]&lt;=2, "0-2 Years", Table1[[#This Row],[Years_of_Service]]&lt;=5, "3-5 Years", Table1[[#This Row],[Years_of_Service]]&lt;=8, "6-8 Years", TRUE, "8 Years")</f>
        <v>6-8 Years</v>
      </c>
      <c r="L111" s="4" t="s">
        <v>43</v>
      </c>
      <c r="M111" s="4">
        <v>76.5</v>
      </c>
      <c r="N111" s="4">
        <v>96.6</v>
      </c>
      <c r="O111" s="4">
        <v>12</v>
      </c>
      <c r="P111" s="4">
        <v>1</v>
      </c>
      <c r="Q111" s="4" t="s">
        <v>32</v>
      </c>
      <c r="R111" s="5"/>
      <c r="S111" s="4" t="s">
        <v>75</v>
      </c>
    </row>
    <row r="112" spans="1:19" x14ac:dyDescent="0.3">
      <c r="A112" s="4">
        <v>111</v>
      </c>
      <c r="B112" s="4" t="s">
        <v>181</v>
      </c>
      <c r="C112" s="4" t="s">
        <v>28</v>
      </c>
      <c r="D112" s="4">
        <v>41</v>
      </c>
      <c r="E112" s="4" t="str" cm="1">
        <f t="array" ref="E112">_xlfn.IFS(Table1[[#This Row],[Age]]&lt;=30, "18-30",Table1[[#This Row],[Age]]&lt;=40, "31-40", Table1[[#This Row],[Age]]&lt;=50, "41-50", TRUE, "51-65")</f>
        <v>41-50</v>
      </c>
      <c r="F112" s="4" t="s">
        <v>35</v>
      </c>
      <c r="G112" s="4" t="s">
        <v>81</v>
      </c>
      <c r="H112" s="4">
        <v>43000</v>
      </c>
      <c r="I112" s="5">
        <v>45824</v>
      </c>
      <c r="J112" s="4">
        <v>1.3</v>
      </c>
      <c r="K112" s="4" t="str" cm="1">
        <f t="array" ref="K112">_xlfn.IFS(Table1[[#This Row],[Years_of_Service]]&lt;=2, "0-2 Years", Table1[[#This Row],[Years_of_Service]]&lt;=5, "3-5 Years", Table1[[#This Row],[Years_of_Service]]&lt;=8, "6-8 Years", TRUE, "8 Years")</f>
        <v>0-2 Years</v>
      </c>
      <c r="L112" s="4" t="s">
        <v>43</v>
      </c>
      <c r="M112" s="4">
        <v>82.5</v>
      </c>
      <c r="N112" s="4">
        <v>87.1</v>
      </c>
      <c r="O112" s="4">
        <v>10</v>
      </c>
      <c r="P112" s="4">
        <v>5</v>
      </c>
      <c r="Q112" s="4" t="s">
        <v>32</v>
      </c>
      <c r="R112" s="5"/>
      <c r="S112" s="4" t="s">
        <v>44</v>
      </c>
    </row>
    <row r="113" spans="1:19" x14ac:dyDescent="0.3">
      <c r="A113" s="4">
        <v>112</v>
      </c>
      <c r="B113" s="4" t="s">
        <v>182</v>
      </c>
      <c r="C113" s="4" t="s">
        <v>46</v>
      </c>
      <c r="D113" s="4">
        <v>26</v>
      </c>
      <c r="E113" s="4" t="str" cm="1">
        <f t="array" ref="E113">_xlfn.IFS(Table1[[#This Row],[Age]]&lt;=30, "18-30",Table1[[#This Row],[Age]]&lt;=40, "31-40", Table1[[#This Row],[Age]]&lt;=50, "41-50", TRUE, "51-65")</f>
        <v>18-30</v>
      </c>
      <c r="F113" s="4" t="s">
        <v>58</v>
      </c>
      <c r="G113" s="4" t="s">
        <v>78</v>
      </c>
      <c r="H113" s="4">
        <v>57000</v>
      </c>
      <c r="I113" s="5">
        <v>45254</v>
      </c>
      <c r="J113" s="4">
        <v>2.9</v>
      </c>
      <c r="K113" s="4" t="str" cm="1">
        <f t="array" ref="K113">_xlfn.IFS(Table1[[#This Row],[Years_of_Service]]&lt;=2, "0-2 Years", Table1[[#This Row],[Years_of_Service]]&lt;=5, "3-5 Years", Table1[[#This Row],[Years_of_Service]]&lt;=8, "6-8 Years", TRUE, "8 Years")</f>
        <v>3-5 Years</v>
      </c>
      <c r="L113" s="4" t="s">
        <v>31</v>
      </c>
      <c r="M113" s="4">
        <v>91.3</v>
      </c>
      <c r="N113" s="4">
        <v>86.3</v>
      </c>
      <c r="O113" s="4">
        <v>2</v>
      </c>
      <c r="P113" s="4">
        <v>12</v>
      </c>
      <c r="Q113" s="4" t="s">
        <v>38</v>
      </c>
      <c r="R113" s="5">
        <v>45891</v>
      </c>
      <c r="S113" s="4" t="s">
        <v>39</v>
      </c>
    </row>
    <row r="114" spans="1:19" x14ac:dyDescent="0.3">
      <c r="A114" s="4">
        <v>113</v>
      </c>
      <c r="B114" s="4" t="s">
        <v>183</v>
      </c>
      <c r="C114" s="4" t="s">
        <v>28</v>
      </c>
      <c r="D114" s="4">
        <v>42</v>
      </c>
      <c r="E114" s="4" t="str" cm="1">
        <f t="array" ref="E114">_xlfn.IFS(Table1[[#This Row],[Age]]&lt;=30, "18-30",Table1[[#This Row],[Age]]&lt;=40, "31-40", Table1[[#This Row],[Age]]&lt;=50, "41-50", TRUE, "51-65")</f>
        <v>41-50</v>
      </c>
      <c r="F114" s="4" t="s">
        <v>29</v>
      </c>
      <c r="G114" s="4" t="s">
        <v>93</v>
      </c>
      <c r="H114" s="4">
        <v>58000</v>
      </c>
      <c r="I114" s="5">
        <v>44154</v>
      </c>
      <c r="J114" s="4">
        <v>5.9</v>
      </c>
      <c r="K114" s="4" t="str" cm="1">
        <f t="array" ref="K114">_xlfn.IFS(Table1[[#This Row],[Years_of_Service]]&lt;=2, "0-2 Years", Table1[[#This Row],[Years_of_Service]]&lt;=5, "3-5 Years", Table1[[#This Row],[Years_of_Service]]&lt;=8, "6-8 Years", TRUE, "8 Years")</f>
        <v>6-8 Years</v>
      </c>
      <c r="L114" s="4" t="s">
        <v>98</v>
      </c>
      <c r="M114" s="4">
        <v>77.8</v>
      </c>
      <c r="N114" s="4">
        <v>85.4</v>
      </c>
      <c r="O114" s="4">
        <v>23</v>
      </c>
      <c r="P114" s="4">
        <v>4</v>
      </c>
      <c r="Q114" s="4" t="s">
        <v>32</v>
      </c>
      <c r="R114" s="5"/>
      <c r="S114" s="4" t="s">
        <v>60</v>
      </c>
    </row>
    <row r="115" spans="1:19" x14ac:dyDescent="0.3">
      <c r="A115" s="4">
        <v>114</v>
      </c>
      <c r="B115" s="4" t="s">
        <v>184</v>
      </c>
      <c r="C115" s="4" t="s">
        <v>46</v>
      </c>
      <c r="D115" s="4">
        <v>33</v>
      </c>
      <c r="E115" s="4" t="str" cm="1">
        <f t="array" ref="E115">_xlfn.IFS(Table1[[#This Row],[Age]]&lt;=30, "18-30",Table1[[#This Row],[Age]]&lt;=40, "31-40", Table1[[#This Row],[Age]]&lt;=50, "41-50", TRUE, "51-65")</f>
        <v>31-40</v>
      </c>
      <c r="F115" s="4" t="s">
        <v>35</v>
      </c>
      <c r="G115" s="4" t="s">
        <v>36</v>
      </c>
      <c r="H115" s="4">
        <v>62000</v>
      </c>
      <c r="I115" s="5">
        <v>44176</v>
      </c>
      <c r="J115" s="4">
        <v>5.8</v>
      </c>
      <c r="K115" s="4" t="str" cm="1">
        <f t="array" ref="K115">_xlfn.IFS(Table1[[#This Row],[Years_of_Service]]&lt;=2, "0-2 Years", Table1[[#This Row],[Years_of_Service]]&lt;=5, "3-5 Years", Table1[[#This Row],[Years_of_Service]]&lt;=8, "6-8 Years", TRUE, "8 Years")</f>
        <v>6-8 Years</v>
      </c>
      <c r="L115" s="4" t="s">
        <v>37</v>
      </c>
      <c r="M115" s="4">
        <v>80.900000000000006</v>
      </c>
      <c r="N115" s="4">
        <v>95.3</v>
      </c>
      <c r="O115" s="4">
        <v>24</v>
      </c>
      <c r="P115" s="4">
        <v>15</v>
      </c>
      <c r="Q115" s="4" t="s">
        <v>32</v>
      </c>
      <c r="R115" s="5"/>
      <c r="S115" s="4" t="s">
        <v>75</v>
      </c>
    </row>
    <row r="116" spans="1:19" x14ac:dyDescent="0.3">
      <c r="A116" s="4">
        <v>115</v>
      </c>
      <c r="B116" s="4" t="s">
        <v>185</v>
      </c>
      <c r="C116" s="4" t="s">
        <v>46</v>
      </c>
      <c r="D116" s="4">
        <v>57</v>
      </c>
      <c r="E116" s="4" t="str" cm="1">
        <f t="array" ref="E116">_xlfn.IFS(Table1[[#This Row],[Age]]&lt;=30, "18-30",Table1[[#This Row],[Age]]&lt;=40, "31-40", Table1[[#This Row],[Age]]&lt;=50, "41-50", TRUE, "51-65")</f>
        <v>51-65</v>
      </c>
      <c r="F116" s="4" t="s">
        <v>41</v>
      </c>
      <c r="G116" s="4" t="s">
        <v>71</v>
      </c>
      <c r="H116" s="4">
        <v>28000</v>
      </c>
      <c r="I116" s="5">
        <v>46099</v>
      </c>
      <c r="J116" s="4">
        <v>0.6</v>
      </c>
      <c r="K116" s="4" t="str" cm="1">
        <f t="array" ref="K116">_xlfn.IFS(Table1[[#This Row],[Years_of_Service]]&lt;=2, "0-2 Years", Table1[[#This Row],[Years_of_Service]]&lt;=5, "3-5 Years", Table1[[#This Row],[Years_of_Service]]&lt;=8, "6-8 Years", TRUE, "8 Years")</f>
        <v>0-2 Years</v>
      </c>
      <c r="L116" s="4" t="s">
        <v>53</v>
      </c>
      <c r="M116" s="4">
        <v>92.2</v>
      </c>
      <c r="N116" s="4">
        <v>93</v>
      </c>
      <c r="O116" s="4">
        <v>2</v>
      </c>
      <c r="P116" s="4">
        <v>15</v>
      </c>
      <c r="Q116" s="4" t="s">
        <v>32</v>
      </c>
      <c r="R116" s="5"/>
      <c r="S116" s="4" t="s">
        <v>75</v>
      </c>
    </row>
    <row r="117" spans="1:19" x14ac:dyDescent="0.3">
      <c r="A117" s="4">
        <v>116</v>
      </c>
      <c r="B117" s="4" t="s">
        <v>186</v>
      </c>
      <c r="C117" s="4" t="s">
        <v>46</v>
      </c>
      <c r="D117" s="4">
        <v>58</v>
      </c>
      <c r="E117" s="4" t="str" cm="1">
        <f t="array" ref="E117">_xlfn.IFS(Table1[[#This Row],[Age]]&lt;=30, "18-30",Table1[[#This Row],[Age]]&lt;=40, "31-40", Table1[[#This Row],[Age]]&lt;=50, "41-50", TRUE, "51-65")</f>
        <v>51-65</v>
      </c>
      <c r="F117" s="4" t="s">
        <v>29</v>
      </c>
      <c r="G117" s="4" t="s">
        <v>93</v>
      </c>
      <c r="H117" s="4">
        <v>35000</v>
      </c>
      <c r="I117" s="5">
        <v>43696</v>
      </c>
      <c r="J117" s="4">
        <v>7.1</v>
      </c>
      <c r="K117" s="4" t="str" cm="1">
        <f t="array" ref="K117">_xlfn.IFS(Table1[[#This Row],[Years_of_Service]]&lt;=2, "0-2 Years", Table1[[#This Row],[Years_of_Service]]&lt;=5, "3-5 Years", Table1[[#This Row],[Years_of_Service]]&lt;=8, "6-8 Years", TRUE, "8 Years")</f>
        <v>6-8 Years</v>
      </c>
      <c r="L117" s="4" t="s">
        <v>53</v>
      </c>
      <c r="M117" s="4">
        <v>70.099999999999994</v>
      </c>
      <c r="N117" s="4">
        <v>83.3</v>
      </c>
      <c r="O117" s="4">
        <v>1</v>
      </c>
      <c r="P117" s="4">
        <v>1</v>
      </c>
      <c r="Q117" s="4" t="s">
        <v>32</v>
      </c>
      <c r="R117" s="5"/>
      <c r="S117" s="4" t="s">
        <v>39</v>
      </c>
    </row>
    <row r="118" spans="1:19" x14ac:dyDescent="0.3">
      <c r="A118" s="4">
        <v>117</v>
      </c>
      <c r="B118" s="4" t="s">
        <v>187</v>
      </c>
      <c r="C118" s="4" t="s">
        <v>28</v>
      </c>
      <c r="D118" s="4">
        <v>26</v>
      </c>
      <c r="E118" s="4" t="str" cm="1">
        <f t="array" ref="E118">_xlfn.IFS(Table1[[#This Row],[Age]]&lt;=30, "18-30",Table1[[#This Row],[Age]]&lt;=40, "31-40", Table1[[#This Row],[Age]]&lt;=50, "41-50", TRUE, "51-65")</f>
        <v>18-30</v>
      </c>
      <c r="F118" s="4" t="s">
        <v>41</v>
      </c>
      <c r="G118" s="4" t="s">
        <v>96</v>
      </c>
      <c r="H118" s="4">
        <v>29000</v>
      </c>
      <c r="I118" s="5">
        <v>45985</v>
      </c>
      <c r="J118" s="4">
        <v>0.9</v>
      </c>
      <c r="K118" s="4" t="str" cm="1">
        <f t="array" ref="K118">_xlfn.IFS(Table1[[#This Row],[Years_of_Service]]&lt;=2, "0-2 Years", Table1[[#This Row],[Years_of_Service]]&lt;=5, "3-5 Years", Table1[[#This Row],[Years_of_Service]]&lt;=8, "6-8 Years", TRUE, "8 Years")</f>
        <v>0-2 Years</v>
      </c>
      <c r="L118" s="4" t="s">
        <v>53</v>
      </c>
      <c r="M118" s="4">
        <v>80</v>
      </c>
      <c r="N118" s="4">
        <v>98.7</v>
      </c>
      <c r="O118" s="4">
        <v>18</v>
      </c>
      <c r="P118" s="4">
        <v>6</v>
      </c>
      <c r="Q118" s="4" t="s">
        <v>32</v>
      </c>
      <c r="R118" s="5"/>
      <c r="S118" s="4" t="s">
        <v>39</v>
      </c>
    </row>
    <row r="119" spans="1:19" x14ac:dyDescent="0.3">
      <c r="A119" s="4">
        <v>118</v>
      </c>
      <c r="B119" s="4" t="s">
        <v>188</v>
      </c>
      <c r="C119" s="4" t="s">
        <v>28</v>
      </c>
      <c r="D119" s="4">
        <v>24</v>
      </c>
      <c r="E119" s="4" t="str" cm="1">
        <f t="array" ref="E119">_xlfn.IFS(Table1[[#This Row],[Age]]&lt;=30, "18-30",Table1[[#This Row],[Age]]&lt;=40, "31-40", Table1[[#This Row],[Age]]&lt;=50, "41-50", TRUE, "51-65")</f>
        <v>18-30</v>
      </c>
      <c r="F119" s="4" t="s">
        <v>85</v>
      </c>
      <c r="G119" s="4" t="s">
        <v>86</v>
      </c>
      <c r="H119" s="4">
        <v>37000</v>
      </c>
      <c r="I119" s="5">
        <v>45311</v>
      </c>
      <c r="J119" s="4">
        <v>2.7</v>
      </c>
      <c r="K119" s="4" t="str" cm="1">
        <f t="array" ref="K119">_xlfn.IFS(Table1[[#This Row],[Years_of_Service]]&lt;=2, "0-2 Years", Table1[[#This Row],[Years_of_Service]]&lt;=5, "3-5 Years", Table1[[#This Row],[Years_of_Service]]&lt;=8, "6-8 Years", TRUE, "8 Years")</f>
        <v>3-5 Years</v>
      </c>
      <c r="L119" s="4" t="s">
        <v>49</v>
      </c>
      <c r="M119" s="4">
        <v>59.5</v>
      </c>
      <c r="N119" s="4">
        <v>97.7</v>
      </c>
      <c r="O119" s="4">
        <v>2</v>
      </c>
      <c r="P119" s="4">
        <v>16</v>
      </c>
      <c r="Q119" s="4" t="s">
        <v>32</v>
      </c>
      <c r="R119" s="5"/>
      <c r="S119" s="4" t="s">
        <v>60</v>
      </c>
    </row>
    <row r="120" spans="1:19" x14ac:dyDescent="0.3">
      <c r="A120" s="4">
        <v>119</v>
      </c>
      <c r="B120" s="4" t="s">
        <v>189</v>
      </c>
      <c r="C120" s="4" t="s">
        <v>46</v>
      </c>
      <c r="D120" s="4">
        <v>49</v>
      </c>
      <c r="E120" s="4" t="str" cm="1">
        <f t="array" ref="E120">_xlfn.IFS(Table1[[#This Row],[Age]]&lt;=30, "18-30",Table1[[#This Row],[Age]]&lt;=40, "31-40", Table1[[#This Row],[Age]]&lt;=50, "41-50", TRUE, "51-65")</f>
        <v>41-50</v>
      </c>
      <c r="F120" s="4" t="s">
        <v>35</v>
      </c>
      <c r="G120" s="4" t="s">
        <v>36</v>
      </c>
      <c r="H120" s="4">
        <v>47000</v>
      </c>
      <c r="I120" s="5">
        <v>45612</v>
      </c>
      <c r="J120" s="4">
        <v>1.9</v>
      </c>
      <c r="K120" s="4" t="str" cm="1">
        <f t="array" ref="K120">_xlfn.IFS(Table1[[#This Row],[Years_of_Service]]&lt;=2, "0-2 Years", Table1[[#This Row],[Years_of_Service]]&lt;=5, "3-5 Years", Table1[[#This Row],[Years_of_Service]]&lt;=8, "6-8 Years", TRUE, "8 Years")</f>
        <v>0-2 Years</v>
      </c>
      <c r="L120" s="4" t="s">
        <v>98</v>
      </c>
      <c r="M120" s="4">
        <v>71</v>
      </c>
      <c r="N120" s="4">
        <v>87</v>
      </c>
      <c r="O120" s="4">
        <v>21</v>
      </c>
      <c r="P120" s="4">
        <v>1</v>
      </c>
      <c r="Q120" s="4" t="s">
        <v>32</v>
      </c>
      <c r="R120" s="5"/>
      <c r="S120" s="4" t="s">
        <v>39</v>
      </c>
    </row>
    <row r="121" spans="1:19" x14ac:dyDescent="0.3">
      <c r="A121" s="4">
        <v>120</v>
      </c>
      <c r="B121" s="4" t="s">
        <v>190</v>
      </c>
      <c r="C121" s="4" t="s">
        <v>28</v>
      </c>
      <c r="D121" s="4">
        <v>56</v>
      </c>
      <c r="E121" s="4" t="str" cm="1">
        <f t="array" ref="E121">_xlfn.IFS(Table1[[#This Row],[Age]]&lt;=30, "18-30",Table1[[#This Row],[Age]]&lt;=40, "31-40", Table1[[#This Row],[Age]]&lt;=50, "41-50", TRUE, "51-65")</f>
        <v>51-65</v>
      </c>
      <c r="F121" s="4" t="s">
        <v>35</v>
      </c>
      <c r="G121" s="4" t="s">
        <v>101</v>
      </c>
      <c r="H121" s="4">
        <v>53000</v>
      </c>
      <c r="I121" s="5">
        <v>46244</v>
      </c>
      <c r="J121" s="4">
        <v>0.2</v>
      </c>
      <c r="K121" s="4" t="str" cm="1">
        <f t="array" ref="K121">_xlfn.IFS(Table1[[#This Row],[Years_of_Service]]&lt;=2, "0-2 Years", Table1[[#This Row],[Years_of_Service]]&lt;=5, "3-5 Years", Table1[[#This Row],[Years_of_Service]]&lt;=8, "6-8 Years", TRUE, "8 Years")</f>
        <v>0-2 Years</v>
      </c>
      <c r="L121" s="4" t="s">
        <v>37</v>
      </c>
      <c r="M121" s="4">
        <v>71.599999999999994</v>
      </c>
      <c r="N121" s="4">
        <v>86.4</v>
      </c>
      <c r="O121" s="4">
        <v>10</v>
      </c>
      <c r="P121" s="4">
        <v>2</v>
      </c>
      <c r="Q121" s="4" t="s">
        <v>32</v>
      </c>
      <c r="R121" s="5"/>
      <c r="S121" s="4" t="s">
        <v>44</v>
      </c>
    </row>
    <row r="122" spans="1:19" x14ac:dyDescent="0.3">
      <c r="A122" s="4">
        <v>121</v>
      </c>
      <c r="B122" s="4" t="s">
        <v>191</v>
      </c>
      <c r="C122" s="4" t="s">
        <v>46</v>
      </c>
      <c r="D122" s="4">
        <v>40</v>
      </c>
      <c r="E122" s="4" t="str" cm="1">
        <f t="array" ref="E122">_xlfn.IFS(Table1[[#This Row],[Age]]&lt;=30, "18-30",Table1[[#This Row],[Age]]&lt;=40, "31-40", Table1[[#This Row],[Age]]&lt;=50, "41-50", TRUE, "51-65")</f>
        <v>31-40</v>
      </c>
      <c r="F122" s="4" t="s">
        <v>29</v>
      </c>
      <c r="G122" s="4" t="s">
        <v>30</v>
      </c>
      <c r="H122" s="4">
        <v>42000</v>
      </c>
      <c r="I122" s="5">
        <v>46153</v>
      </c>
      <c r="J122" s="4">
        <v>0.4</v>
      </c>
      <c r="K122" s="4" t="str" cm="1">
        <f t="array" ref="K122">_xlfn.IFS(Table1[[#This Row],[Years_of_Service]]&lt;=2, "0-2 Years", Table1[[#This Row],[Years_of_Service]]&lt;=5, "3-5 Years", Table1[[#This Row],[Years_of_Service]]&lt;=8, "6-8 Years", TRUE, "8 Years")</f>
        <v>0-2 Years</v>
      </c>
      <c r="L122" s="4" t="s">
        <v>31</v>
      </c>
      <c r="M122" s="4">
        <v>80.599999999999994</v>
      </c>
      <c r="N122" s="4">
        <v>98.4</v>
      </c>
      <c r="O122" s="4">
        <v>12</v>
      </c>
      <c r="P122" s="4">
        <v>10</v>
      </c>
      <c r="Q122" s="4" t="s">
        <v>32</v>
      </c>
      <c r="R122" s="5"/>
      <c r="S122" s="4" t="s">
        <v>60</v>
      </c>
    </row>
    <row r="123" spans="1:19" x14ac:dyDescent="0.3">
      <c r="A123" s="4">
        <v>122</v>
      </c>
      <c r="B123" s="4" t="s">
        <v>192</v>
      </c>
      <c r="C123" s="4" t="s">
        <v>28</v>
      </c>
      <c r="D123" s="4">
        <v>48</v>
      </c>
      <c r="E123" s="4" t="str" cm="1">
        <f t="array" ref="E123">_xlfn.IFS(Table1[[#This Row],[Age]]&lt;=30, "18-30",Table1[[#This Row],[Age]]&lt;=40, "31-40", Table1[[#This Row],[Age]]&lt;=50, "41-50", TRUE, "51-65")</f>
        <v>41-50</v>
      </c>
      <c r="F123" s="4" t="s">
        <v>29</v>
      </c>
      <c r="G123" s="4" t="s">
        <v>66</v>
      </c>
      <c r="H123" s="4">
        <v>36000</v>
      </c>
      <c r="I123" s="5">
        <v>45548</v>
      </c>
      <c r="J123" s="4">
        <v>2.1</v>
      </c>
      <c r="K123" s="4" t="str" cm="1">
        <f t="array" ref="K123">_xlfn.IFS(Table1[[#This Row],[Years_of_Service]]&lt;=2, "0-2 Years", Table1[[#This Row],[Years_of_Service]]&lt;=5, "3-5 Years", Table1[[#This Row],[Years_of_Service]]&lt;=8, "6-8 Years", TRUE, "8 Years")</f>
        <v>3-5 Years</v>
      </c>
      <c r="L123" s="4" t="s">
        <v>37</v>
      </c>
      <c r="M123" s="4">
        <v>70.599999999999994</v>
      </c>
      <c r="N123" s="4">
        <v>88.3</v>
      </c>
      <c r="O123" s="4">
        <v>10</v>
      </c>
      <c r="P123" s="4">
        <v>15</v>
      </c>
      <c r="Q123" s="4" t="s">
        <v>32</v>
      </c>
      <c r="R123" s="5"/>
      <c r="S123" s="4" t="s">
        <v>60</v>
      </c>
    </row>
    <row r="124" spans="1:19" x14ac:dyDescent="0.3">
      <c r="A124" s="4">
        <v>123</v>
      </c>
      <c r="B124" s="4" t="s">
        <v>193</v>
      </c>
      <c r="C124" s="4" t="s">
        <v>28</v>
      </c>
      <c r="D124" s="4">
        <v>25</v>
      </c>
      <c r="E124" s="4" t="str" cm="1">
        <f t="array" ref="E124">_xlfn.IFS(Table1[[#This Row],[Age]]&lt;=30, "18-30",Table1[[#This Row],[Age]]&lt;=40, "31-40", Table1[[#This Row],[Age]]&lt;=50, "41-50", TRUE, "51-65")</f>
        <v>18-30</v>
      </c>
      <c r="F124" s="4" t="s">
        <v>51</v>
      </c>
      <c r="G124" s="4" t="s">
        <v>73</v>
      </c>
      <c r="H124" s="4">
        <v>44000</v>
      </c>
      <c r="I124" s="5">
        <v>44677</v>
      </c>
      <c r="J124" s="4">
        <v>4.4000000000000004</v>
      </c>
      <c r="K124" s="4" t="str" cm="1">
        <f t="array" ref="K124">_xlfn.IFS(Table1[[#This Row],[Years_of_Service]]&lt;=2, "0-2 Years", Table1[[#This Row],[Years_of_Service]]&lt;=5, "3-5 Years", Table1[[#This Row],[Years_of_Service]]&lt;=8, "6-8 Years", TRUE, "8 Years")</f>
        <v>3-5 Years</v>
      </c>
      <c r="L124" s="4" t="s">
        <v>49</v>
      </c>
      <c r="M124" s="4">
        <v>88.1</v>
      </c>
      <c r="N124" s="4">
        <v>96.6</v>
      </c>
      <c r="O124" s="4">
        <v>10</v>
      </c>
      <c r="P124" s="4">
        <v>4</v>
      </c>
      <c r="Q124" s="4" t="s">
        <v>38</v>
      </c>
      <c r="R124" s="5">
        <v>46263</v>
      </c>
      <c r="S124" s="4" t="s">
        <v>44</v>
      </c>
    </row>
    <row r="125" spans="1:19" x14ac:dyDescent="0.3">
      <c r="A125" s="4">
        <v>124</v>
      </c>
      <c r="B125" s="4" t="s">
        <v>194</v>
      </c>
      <c r="C125" s="4" t="s">
        <v>28</v>
      </c>
      <c r="D125" s="4">
        <v>32</v>
      </c>
      <c r="E125" s="4" t="str" cm="1">
        <f t="array" ref="E125">_xlfn.IFS(Table1[[#This Row],[Age]]&lt;=30, "18-30",Table1[[#This Row],[Age]]&lt;=40, "31-40", Table1[[#This Row],[Age]]&lt;=50, "41-50", TRUE, "51-65")</f>
        <v>31-40</v>
      </c>
      <c r="F125" s="4" t="s">
        <v>58</v>
      </c>
      <c r="G125" s="4" t="s">
        <v>136</v>
      </c>
      <c r="H125" s="4">
        <v>47000</v>
      </c>
      <c r="I125" s="5">
        <v>46024</v>
      </c>
      <c r="J125" s="4">
        <v>0.8</v>
      </c>
      <c r="K125" s="4" t="str" cm="1">
        <f t="array" ref="K125">_xlfn.IFS(Table1[[#This Row],[Years_of_Service]]&lt;=2, "0-2 Years", Table1[[#This Row],[Years_of_Service]]&lt;=5, "3-5 Years", Table1[[#This Row],[Years_of_Service]]&lt;=8, "6-8 Years", TRUE, "8 Years")</f>
        <v>0-2 Years</v>
      </c>
      <c r="L125" s="4" t="s">
        <v>43</v>
      </c>
      <c r="M125" s="4">
        <v>89.8</v>
      </c>
      <c r="N125" s="4">
        <v>84.9</v>
      </c>
      <c r="O125" s="4">
        <v>13</v>
      </c>
      <c r="P125" s="4">
        <v>11</v>
      </c>
      <c r="Q125" s="4" t="s">
        <v>32</v>
      </c>
      <c r="R125" s="5"/>
      <c r="S125" s="4" t="s">
        <v>60</v>
      </c>
    </row>
    <row r="126" spans="1:19" x14ac:dyDescent="0.3">
      <c r="A126" s="4">
        <v>125</v>
      </c>
      <c r="B126" s="4" t="s">
        <v>195</v>
      </c>
      <c r="C126" s="4" t="s">
        <v>46</v>
      </c>
      <c r="D126" s="4">
        <v>49</v>
      </c>
      <c r="E126" s="4" t="str" cm="1">
        <f t="array" ref="E126">_xlfn.IFS(Table1[[#This Row],[Age]]&lt;=30, "18-30",Table1[[#This Row],[Age]]&lt;=40, "31-40", Table1[[#This Row],[Age]]&lt;=50, "41-50", TRUE, "51-65")</f>
        <v>41-50</v>
      </c>
      <c r="F126" s="4" t="s">
        <v>58</v>
      </c>
      <c r="G126" s="4" t="s">
        <v>78</v>
      </c>
      <c r="H126" s="4">
        <v>42000</v>
      </c>
      <c r="I126" s="5">
        <v>44424</v>
      </c>
      <c r="J126" s="4">
        <v>5.0999999999999996</v>
      </c>
      <c r="K126" s="4" t="str" cm="1">
        <f t="array" ref="K126">_xlfn.IFS(Table1[[#This Row],[Years_of_Service]]&lt;=2, "0-2 Years", Table1[[#This Row],[Years_of_Service]]&lt;=5, "3-5 Years", Table1[[#This Row],[Years_of_Service]]&lt;=8, "6-8 Years", TRUE, "8 Years")</f>
        <v>6-8 Years</v>
      </c>
      <c r="L126" s="4" t="s">
        <v>98</v>
      </c>
      <c r="M126" s="4">
        <v>89.8</v>
      </c>
      <c r="N126" s="4">
        <v>90.2</v>
      </c>
      <c r="O126" s="4">
        <v>21</v>
      </c>
      <c r="P126" s="4">
        <v>18</v>
      </c>
      <c r="Q126" s="4" t="s">
        <v>32</v>
      </c>
      <c r="R126" s="5"/>
      <c r="S126" s="4" t="s">
        <v>75</v>
      </c>
    </row>
    <row r="127" spans="1:19" x14ac:dyDescent="0.3">
      <c r="A127" s="4">
        <v>126</v>
      </c>
      <c r="B127" s="4" t="s">
        <v>196</v>
      </c>
      <c r="C127" s="4" t="s">
        <v>46</v>
      </c>
      <c r="D127" s="4">
        <v>53</v>
      </c>
      <c r="E127" s="4" t="str" cm="1">
        <f t="array" ref="E127">_xlfn.IFS(Table1[[#This Row],[Age]]&lt;=30, "18-30",Table1[[#This Row],[Age]]&lt;=40, "31-40", Table1[[#This Row],[Age]]&lt;=50, "41-50", TRUE, "51-65")</f>
        <v>51-65</v>
      </c>
      <c r="F127" s="4" t="s">
        <v>58</v>
      </c>
      <c r="G127" s="4" t="s">
        <v>59</v>
      </c>
      <c r="H127" s="4">
        <v>49000</v>
      </c>
      <c r="I127" s="5">
        <v>45626</v>
      </c>
      <c r="J127" s="4">
        <v>1.9</v>
      </c>
      <c r="K127" s="4" t="str" cm="1">
        <f t="array" ref="K127">_xlfn.IFS(Table1[[#This Row],[Years_of_Service]]&lt;=2, "0-2 Years", Table1[[#This Row],[Years_of_Service]]&lt;=5, "3-5 Years", Table1[[#This Row],[Years_of_Service]]&lt;=8, "6-8 Years", TRUE, "8 Years")</f>
        <v>0-2 Years</v>
      </c>
      <c r="L127" s="4" t="s">
        <v>31</v>
      </c>
      <c r="M127" s="4">
        <v>73</v>
      </c>
      <c r="N127" s="4">
        <v>84.8</v>
      </c>
      <c r="O127" s="4">
        <v>4</v>
      </c>
      <c r="P127" s="4">
        <v>8</v>
      </c>
      <c r="Q127" s="4" t="s">
        <v>32</v>
      </c>
      <c r="R127" s="5"/>
      <c r="S127" s="4" t="s">
        <v>33</v>
      </c>
    </row>
    <row r="128" spans="1:19" x14ac:dyDescent="0.3">
      <c r="A128" s="4">
        <v>127</v>
      </c>
      <c r="B128" s="4" t="s">
        <v>197</v>
      </c>
      <c r="C128" s="4" t="s">
        <v>46</v>
      </c>
      <c r="D128" s="4">
        <v>56</v>
      </c>
      <c r="E128" s="4" t="str" cm="1">
        <f t="array" ref="E128">_xlfn.IFS(Table1[[#This Row],[Age]]&lt;=30, "18-30",Table1[[#This Row],[Age]]&lt;=40, "31-40", Table1[[#This Row],[Age]]&lt;=50, "41-50", TRUE, "51-65")</f>
        <v>51-65</v>
      </c>
      <c r="F128" s="4" t="s">
        <v>29</v>
      </c>
      <c r="G128" s="4" t="s">
        <v>93</v>
      </c>
      <c r="H128" s="4">
        <v>43000</v>
      </c>
      <c r="I128" s="5">
        <v>43886</v>
      </c>
      <c r="J128" s="4">
        <v>6.6</v>
      </c>
      <c r="K128" s="4" t="str" cm="1">
        <f t="array" ref="K128">_xlfn.IFS(Table1[[#This Row],[Years_of_Service]]&lt;=2, "0-2 Years", Table1[[#This Row],[Years_of_Service]]&lt;=5, "3-5 Years", Table1[[#This Row],[Years_of_Service]]&lt;=8, "6-8 Years", TRUE, "8 Years")</f>
        <v>6-8 Years</v>
      </c>
      <c r="L128" s="4" t="s">
        <v>98</v>
      </c>
      <c r="M128" s="4">
        <v>60.4</v>
      </c>
      <c r="N128" s="4">
        <v>83.5</v>
      </c>
      <c r="O128" s="4">
        <v>14</v>
      </c>
      <c r="P128" s="4">
        <v>16</v>
      </c>
      <c r="Q128" s="4" t="s">
        <v>32</v>
      </c>
      <c r="R128" s="5"/>
      <c r="S128" s="4" t="s">
        <v>60</v>
      </c>
    </row>
    <row r="129" spans="1:19" x14ac:dyDescent="0.3">
      <c r="A129" s="4">
        <v>128</v>
      </c>
      <c r="B129" s="4" t="s">
        <v>198</v>
      </c>
      <c r="C129" s="4" t="s">
        <v>28</v>
      </c>
      <c r="D129" s="4">
        <v>35</v>
      </c>
      <c r="E129" s="4" t="str" cm="1">
        <f t="array" ref="E129">_xlfn.IFS(Table1[[#This Row],[Age]]&lt;=30, "18-30",Table1[[#This Row],[Age]]&lt;=40, "31-40", Table1[[#This Row],[Age]]&lt;=50, "41-50", TRUE, "51-65")</f>
        <v>31-40</v>
      </c>
      <c r="F129" s="4" t="s">
        <v>41</v>
      </c>
      <c r="G129" s="4" t="s">
        <v>96</v>
      </c>
      <c r="H129" s="4">
        <v>26000</v>
      </c>
      <c r="I129" s="5">
        <v>45313</v>
      </c>
      <c r="J129" s="4">
        <v>2.7</v>
      </c>
      <c r="K129" s="4" t="str" cm="1">
        <f t="array" ref="K129">_xlfn.IFS(Table1[[#This Row],[Years_of_Service]]&lt;=2, "0-2 Years", Table1[[#This Row],[Years_of_Service]]&lt;=5, "3-5 Years", Table1[[#This Row],[Years_of_Service]]&lt;=8, "6-8 Years", TRUE, "8 Years")</f>
        <v>3-5 Years</v>
      </c>
      <c r="L129" s="4" t="s">
        <v>43</v>
      </c>
      <c r="M129" s="4">
        <v>93</v>
      </c>
      <c r="N129" s="4">
        <v>98.3</v>
      </c>
      <c r="O129" s="4">
        <v>12</v>
      </c>
      <c r="P129" s="4">
        <v>16</v>
      </c>
      <c r="Q129" s="4" t="s">
        <v>32</v>
      </c>
      <c r="R129" s="5"/>
      <c r="S129" s="4" t="s">
        <v>39</v>
      </c>
    </row>
    <row r="130" spans="1:19" x14ac:dyDescent="0.3">
      <c r="A130" s="4">
        <v>129</v>
      </c>
      <c r="B130" s="4" t="s">
        <v>199</v>
      </c>
      <c r="C130" s="4" t="s">
        <v>28</v>
      </c>
      <c r="D130" s="4">
        <v>44</v>
      </c>
      <c r="E130" s="4" t="str" cm="1">
        <f t="array" ref="E130">_xlfn.IFS(Table1[[#This Row],[Age]]&lt;=30, "18-30",Table1[[#This Row],[Age]]&lt;=40, "31-40", Table1[[#This Row],[Age]]&lt;=50, "41-50", TRUE, "51-65")</f>
        <v>41-50</v>
      </c>
      <c r="F130" s="4" t="s">
        <v>51</v>
      </c>
      <c r="G130" s="4" t="s">
        <v>55</v>
      </c>
      <c r="H130" s="4">
        <v>63000</v>
      </c>
      <c r="I130" s="5">
        <v>44385</v>
      </c>
      <c r="J130" s="4">
        <v>5.2</v>
      </c>
      <c r="K130" s="4" t="str" cm="1">
        <f t="array" ref="K130">_xlfn.IFS(Table1[[#This Row],[Years_of_Service]]&lt;=2, "0-2 Years", Table1[[#This Row],[Years_of_Service]]&lt;=5, "3-5 Years", Table1[[#This Row],[Years_of_Service]]&lt;=8, "6-8 Years", TRUE, "8 Years")</f>
        <v>6-8 Years</v>
      </c>
      <c r="L130" s="4" t="s">
        <v>37</v>
      </c>
      <c r="M130" s="4">
        <v>91.1</v>
      </c>
      <c r="N130" s="4">
        <v>93.4</v>
      </c>
      <c r="O130" s="4">
        <v>1</v>
      </c>
      <c r="P130" s="4">
        <v>9</v>
      </c>
      <c r="Q130" s="4" t="s">
        <v>32</v>
      </c>
      <c r="R130" s="5"/>
      <c r="S130" s="4" t="s">
        <v>75</v>
      </c>
    </row>
    <row r="131" spans="1:19" x14ac:dyDescent="0.3">
      <c r="A131" s="4">
        <v>130</v>
      </c>
      <c r="B131" s="4" t="s">
        <v>200</v>
      </c>
      <c r="C131" s="4" t="s">
        <v>46</v>
      </c>
      <c r="D131" s="4">
        <v>49</v>
      </c>
      <c r="E131" s="4" t="str" cm="1">
        <f t="array" ref="E131">_xlfn.IFS(Table1[[#This Row],[Age]]&lt;=30, "18-30",Table1[[#This Row],[Age]]&lt;=40, "31-40", Table1[[#This Row],[Age]]&lt;=50, "41-50", TRUE, "51-65")</f>
        <v>41-50</v>
      </c>
      <c r="F131" s="4" t="s">
        <v>29</v>
      </c>
      <c r="G131" s="4" t="s">
        <v>30</v>
      </c>
      <c r="H131" s="4">
        <v>50000</v>
      </c>
      <c r="I131" s="5">
        <v>45986</v>
      </c>
      <c r="J131" s="4">
        <v>0.9</v>
      </c>
      <c r="K131" s="4" t="str" cm="1">
        <f t="array" ref="K131">_xlfn.IFS(Table1[[#This Row],[Years_of_Service]]&lt;=2, "0-2 Years", Table1[[#This Row],[Years_of_Service]]&lt;=5, "3-5 Years", Table1[[#This Row],[Years_of_Service]]&lt;=8, "6-8 Years", TRUE, "8 Years")</f>
        <v>0-2 Years</v>
      </c>
      <c r="L131" s="4" t="s">
        <v>37</v>
      </c>
      <c r="M131" s="4">
        <v>55.2</v>
      </c>
      <c r="N131" s="4">
        <v>83.4</v>
      </c>
      <c r="O131" s="4">
        <v>4</v>
      </c>
      <c r="P131" s="4">
        <v>17</v>
      </c>
      <c r="Q131" s="4" t="s">
        <v>32</v>
      </c>
      <c r="R131" s="5"/>
      <c r="S131" s="4" t="s">
        <v>44</v>
      </c>
    </row>
    <row r="132" spans="1:19" x14ac:dyDescent="0.3">
      <c r="A132" s="4">
        <v>131</v>
      </c>
      <c r="B132" s="4" t="s">
        <v>201</v>
      </c>
      <c r="C132" s="4" t="s">
        <v>28</v>
      </c>
      <c r="D132" s="4">
        <v>39</v>
      </c>
      <c r="E132" s="4" t="str" cm="1">
        <f t="array" ref="E132">_xlfn.IFS(Table1[[#This Row],[Age]]&lt;=30, "18-30",Table1[[#This Row],[Age]]&lt;=40, "31-40", Table1[[#This Row],[Age]]&lt;=50, "41-50", TRUE, "51-65")</f>
        <v>31-40</v>
      </c>
      <c r="F132" s="4" t="s">
        <v>85</v>
      </c>
      <c r="G132" s="4" t="s">
        <v>86</v>
      </c>
      <c r="H132" s="4">
        <v>42000</v>
      </c>
      <c r="I132" s="5">
        <v>44439</v>
      </c>
      <c r="J132" s="4">
        <v>5.0999999999999996</v>
      </c>
      <c r="K132" s="4" t="str" cm="1">
        <f t="array" ref="K132">_xlfn.IFS(Table1[[#This Row],[Years_of_Service]]&lt;=2, "0-2 Years", Table1[[#This Row],[Years_of_Service]]&lt;=5, "3-5 Years", Table1[[#This Row],[Years_of_Service]]&lt;=8, "6-8 Years", TRUE, "8 Years")</f>
        <v>6-8 Years</v>
      </c>
      <c r="L132" s="4" t="s">
        <v>43</v>
      </c>
      <c r="M132" s="4">
        <v>73.099999999999994</v>
      </c>
      <c r="N132" s="4">
        <v>95.9</v>
      </c>
      <c r="O132" s="4">
        <v>3</v>
      </c>
      <c r="P132" s="4">
        <v>15</v>
      </c>
      <c r="Q132" s="4" t="s">
        <v>32</v>
      </c>
      <c r="R132" s="5"/>
      <c r="S132" s="4" t="s">
        <v>44</v>
      </c>
    </row>
    <row r="133" spans="1:19" x14ac:dyDescent="0.3">
      <c r="A133" s="4">
        <v>132</v>
      </c>
      <c r="B133" s="4" t="s">
        <v>202</v>
      </c>
      <c r="C133" s="4" t="s">
        <v>28</v>
      </c>
      <c r="D133" s="4">
        <v>30</v>
      </c>
      <c r="E133" s="4" t="str" cm="1">
        <f t="array" ref="E133">_xlfn.IFS(Table1[[#This Row],[Age]]&lt;=30, "18-30",Table1[[#This Row],[Age]]&lt;=40, "31-40", Table1[[#This Row],[Age]]&lt;=50, "41-50", TRUE, "51-65")</f>
        <v>18-30</v>
      </c>
      <c r="F133" s="4" t="s">
        <v>85</v>
      </c>
      <c r="G133" s="4" t="s">
        <v>103</v>
      </c>
      <c r="H133" s="4">
        <v>45000</v>
      </c>
      <c r="I133" s="5">
        <v>44659</v>
      </c>
      <c r="J133" s="4">
        <v>4.5</v>
      </c>
      <c r="K133" s="4" t="str" cm="1">
        <f t="array" ref="K133">_xlfn.IFS(Table1[[#This Row],[Years_of_Service]]&lt;=2, "0-2 Years", Table1[[#This Row],[Years_of_Service]]&lt;=5, "3-5 Years", Table1[[#This Row],[Years_of_Service]]&lt;=8, "6-8 Years", TRUE, "8 Years")</f>
        <v>3-5 Years</v>
      </c>
      <c r="L133" s="4" t="s">
        <v>31</v>
      </c>
      <c r="M133" s="4">
        <v>73.5</v>
      </c>
      <c r="N133" s="4">
        <v>92.8</v>
      </c>
      <c r="O133" s="4">
        <v>13</v>
      </c>
      <c r="P133" s="4">
        <v>5</v>
      </c>
      <c r="Q133" s="4" t="s">
        <v>32</v>
      </c>
      <c r="R133" s="5"/>
      <c r="S133" s="4" t="s">
        <v>33</v>
      </c>
    </row>
    <row r="134" spans="1:19" x14ac:dyDescent="0.3">
      <c r="A134" s="4">
        <v>133</v>
      </c>
      <c r="B134" s="4" t="s">
        <v>203</v>
      </c>
      <c r="C134" s="4" t="s">
        <v>28</v>
      </c>
      <c r="D134" s="4">
        <v>54</v>
      </c>
      <c r="E134" s="4" t="str" cm="1">
        <f t="array" ref="E134">_xlfn.IFS(Table1[[#This Row],[Age]]&lt;=30, "18-30",Table1[[#This Row],[Age]]&lt;=40, "31-40", Table1[[#This Row],[Age]]&lt;=50, "41-50", TRUE, "51-65")</f>
        <v>51-65</v>
      </c>
      <c r="F134" s="4" t="s">
        <v>85</v>
      </c>
      <c r="G134" s="4" t="s">
        <v>86</v>
      </c>
      <c r="H134" s="4">
        <v>18000</v>
      </c>
      <c r="I134" s="5">
        <v>45694</v>
      </c>
      <c r="J134" s="4">
        <v>1.7</v>
      </c>
      <c r="K134" s="4" t="str" cm="1">
        <f t="array" ref="K134">_xlfn.IFS(Table1[[#This Row],[Years_of_Service]]&lt;=2, "0-2 Years", Table1[[#This Row],[Years_of_Service]]&lt;=5, "3-5 Years", Table1[[#This Row],[Years_of_Service]]&lt;=8, "6-8 Years", TRUE, "8 Years")</f>
        <v>0-2 Years</v>
      </c>
      <c r="L134" s="4" t="s">
        <v>43</v>
      </c>
      <c r="M134" s="4">
        <v>78.8</v>
      </c>
      <c r="N134" s="4">
        <v>88.8</v>
      </c>
      <c r="O134" s="4">
        <v>20</v>
      </c>
      <c r="P134" s="4">
        <v>12</v>
      </c>
      <c r="Q134" s="4" t="s">
        <v>32</v>
      </c>
      <c r="R134" s="5"/>
      <c r="S134" s="4" t="s">
        <v>39</v>
      </c>
    </row>
    <row r="135" spans="1:19" x14ac:dyDescent="0.3">
      <c r="A135" s="4">
        <v>134</v>
      </c>
      <c r="B135" s="4" t="s">
        <v>204</v>
      </c>
      <c r="C135" s="4" t="s">
        <v>28</v>
      </c>
      <c r="D135" s="4">
        <v>43</v>
      </c>
      <c r="E135" s="4" t="str" cm="1">
        <f t="array" ref="E135">_xlfn.IFS(Table1[[#This Row],[Age]]&lt;=30, "18-30",Table1[[#This Row],[Age]]&lt;=40, "31-40", Table1[[#This Row],[Age]]&lt;=50, "41-50", TRUE, "51-65")</f>
        <v>41-50</v>
      </c>
      <c r="F135" s="4" t="s">
        <v>47</v>
      </c>
      <c r="G135" s="4" t="s">
        <v>64</v>
      </c>
      <c r="H135" s="4">
        <v>43000</v>
      </c>
      <c r="I135" s="5">
        <v>43742</v>
      </c>
      <c r="J135" s="4">
        <v>7</v>
      </c>
      <c r="K135" s="4" t="str" cm="1">
        <f t="array" ref="K135">_xlfn.IFS(Table1[[#This Row],[Years_of_Service]]&lt;=2, "0-2 Years", Table1[[#This Row],[Years_of_Service]]&lt;=5, "3-5 Years", Table1[[#This Row],[Years_of_Service]]&lt;=8, "6-8 Years", TRUE, "8 Years")</f>
        <v>6-8 Years</v>
      </c>
      <c r="L135" s="4" t="s">
        <v>31</v>
      </c>
      <c r="M135" s="4">
        <v>69.8</v>
      </c>
      <c r="N135" s="4">
        <v>94.8</v>
      </c>
      <c r="O135" s="4">
        <v>23</v>
      </c>
      <c r="P135" s="4">
        <v>10</v>
      </c>
      <c r="Q135" s="4" t="s">
        <v>32</v>
      </c>
      <c r="R135" s="5"/>
      <c r="S135" s="4" t="s">
        <v>60</v>
      </c>
    </row>
    <row r="136" spans="1:19" x14ac:dyDescent="0.3">
      <c r="A136" s="4">
        <v>135</v>
      </c>
      <c r="B136" s="4" t="s">
        <v>205</v>
      </c>
      <c r="C136" s="4" t="s">
        <v>46</v>
      </c>
      <c r="D136" s="4">
        <v>32</v>
      </c>
      <c r="E136" s="4" t="str" cm="1">
        <f t="array" ref="E136">_xlfn.IFS(Table1[[#This Row],[Age]]&lt;=30, "18-30",Table1[[#This Row],[Age]]&lt;=40, "31-40", Table1[[#This Row],[Age]]&lt;=50, "41-50", TRUE, "51-65")</f>
        <v>31-40</v>
      </c>
      <c r="F136" s="4" t="s">
        <v>35</v>
      </c>
      <c r="G136" s="4" t="s">
        <v>101</v>
      </c>
      <c r="H136" s="4">
        <v>36000</v>
      </c>
      <c r="I136" s="5">
        <v>46270</v>
      </c>
      <c r="J136" s="4">
        <v>0.1</v>
      </c>
      <c r="K136" s="4" t="str" cm="1">
        <f t="array" ref="K136">_xlfn.IFS(Table1[[#This Row],[Years_of_Service]]&lt;=2, "0-2 Years", Table1[[#This Row],[Years_of_Service]]&lt;=5, "3-5 Years", Table1[[#This Row],[Years_of_Service]]&lt;=8, "6-8 Years", TRUE, "8 Years")</f>
        <v>0-2 Years</v>
      </c>
      <c r="L136" s="4" t="s">
        <v>49</v>
      </c>
      <c r="M136" s="4">
        <v>82.2</v>
      </c>
      <c r="N136" s="4">
        <v>96.2</v>
      </c>
      <c r="O136" s="4">
        <v>24</v>
      </c>
      <c r="P136" s="4">
        <v>14</v>
      </c>
      <c r="Q136" s="4" t="s">
        <v>32</v>
      </c>
      <c r="R136" s="5"/>
      <c r="S136" s="4" t="s">
        <v>33</v>
      </c>
    </row>
    <row r="137" spans="1:19" x14ac:dyDescent="0.3">
      <c r="A137" s="4">
        <v>136</v>
      </c>
      <c r="B137" s="4" t="s">
        <v>206</v>
      </c>
      <c r="C137" s="4" t="s">
        <v>28</v>
      </c>
      <c r="D137" s="4">
        <v>33</v>
      </c>
      <c r="E137" s="4" t="str" cm="1">
        <f t="array" ref="E137">_xlfn.IFS(Table1[[#This Row],[Age]]&lt;=30, "18-30",Table1[[#This Row],[Age]]&lt;=40, "31-40", Table1[[#This Row],[Age]]&lt;=50, "41-50", TRUE, "51-65")</f>
        <v>31-40</v>
      </c>
      <c r="F137" s="4" t="s">
        <v>47</v>
      </c>
      <c r="G137" s="4" t="s">
        <v>48</v>
      </c>
      <c r="H137" s="4">
        <v>48000</v>
      </c>
      <c r="I137" s="5">
        <v>43637</v>
      </c>
      <c r="J137" s="4">
        <v>7.3</v>
      </c>
      <c r="K137" s="4" t="str" cm="1">
        <f t="array" ref="K137">_xlfn.IFS(Table1[[#This Row],[Years_of_Service]]&lt;=2, "0-2 Years", Table1[[#This Row],[Years_of_Service]]&lt;=5, "3-5 Years", Table1[[#This Row],[Years_of_Service]]&lt;=8, "6-8 Years", TRUE, "8 Years")</f>
        <v>6-8 Years</v>
      </c>
      <c r="L137" s="4" t="s">
        <v>31</v>
      </c>
      <c r="M137" s="4">
        <v>68.599999999999994</v>
      </c>
      <c r="N137" s="4">
        <v>87.4</v>
      </c>
      <c r="O137" s="4">
        <v>15</v>
      </c>
      <c r="P137" s="4">
        <v>8</v>
      </c>
      <c r="Q137" s="4" t="s">
        <v>32</v>
      </c>
      <c r="R137" s="5"/>
      <c r="S137" s="4" t="s">
        <v>33</v>
      </c>
    </row>
    <row r="138" spans="1:19" x14ac:dyDescent="0.3">
      <c r="A138" s="4">
        <v>137</v>
      </c>
      <c r="B138" s="4" t="s">
        <v>207</v>
      </c>
      <c r="C138" s="4" t="s">
        <v>28</v>
      </c>
      <c r="D138" s="4">
        <v>39</v>
      </c>
      <c r="E138" s="4" t="str" cm="1">
        <f t="array" ref="E138">_xlfn.IFS(Table1[[#This Row],[Age]]&lt;=30, "18-30",Table1[[#This Row],[Age]]&lt;=40, "31-40", Table1[[#This Row],[Age]]&lt;=50, "41-50", TRUE, "51-65")</f>
        <v>31-40</v>
      </c>
      <c r="F138" s="4" t="s">
        <v>41</v>
      </c>
      <c r="G138" s="4" t="s">
        <v>71</v>
      </c>
      <c r="H138" s="4">
        <v>37000</v>
      </c>
      <c r="I138" s="5">
        <v>44928</v>
      </c>
      <c r="J138" s="4">
        <v>3.8</v>
      </c>
      <c r="K138" s="4" t="str" cm="1">
        <f t="array" ref="K138">_xlfn.IFS(Table1[[#This Row],[Years_of_Service]]&lt;=2, "0-2 Years", Table1[[#This Row],[Years_of_Service]]&lt;=5, "3-5 Years", Table1[[#This Row],[Years_of_Service]]&lt;=8, "6-8 Years", TRUE, "8 Years")</f>
        <v>3-5 Years</v>
      </c>
      <c r="L138" s="4" t="s">
        <v>53</v>
      </c>
      <c r="M138" s="4">
        <v>83.2</v>
      </c>
      <c r="N138" s="4">
        <v>86.8</v>
      </c>
      <c r="O138" s="4">
        <v>12</v>
      </c>
      <c r="P138" s="4">
        <v>14</v>
      </c>
      <c r="Q138" s="4" t="s">
        <v>32</v>
      </c>
      <c r="R138" s="5"/>
      <c r="S138" s="4" t="s">
        <v>75</v>
      </c>
    </row>
    <row r="139" spans="1:19" x14ac:dyDescent="0.3">
      <c r="A139" s="4">
        <v>138</v>
      </c>
      <c r="B139" s="4" t="s">
        <v>208</v>
      </c>
      <c r="C139" s="4" t="s">
        <v>46</v>
      </c>
      <c r="D139" s="4">
        <v>52</v>
      </c>
      <c r="E139" s="4" t="str" cm="1">
        <f t="array" ref="E139">_xlfn.IFS(Table1[[#This Row],[Age]]&lt;=30, "18-30",Table1[[#This Row],[Age]]&lt;=40, "31-40", Table1[[#This Row],[Age]]&lt;=50, "41-50", TRUE, "51-65")</f>
        <v>51-65</v>
      </c>
      <c r="F139" s="4" t="s">
        <v>47</v>
      </c>
      <c r="G139" s="4" t="s">
        <v>48</v>
      </c>
      <c r="H139" s="4">
        <v>42000</v>
      </c>
      <c r="I139" s="5">
        <v>44970</v>
      </c>
      <c r="J139" s="4">
        <v>3.6</v>
      </c>
      <c r="K139" s="4" t="str" cm="1">
        <f t="array" ref="K139">_xlfn.IFS(Table1[[#This Row],[Years_of_Service]]&lt;=2, "0-2 Years", Table1[[#This Row],[Years_of_Service]]&lt;=5, "3-5 Years", Table1[[#This Row],[Years_of_Service]]&lt;=8, "6-8 Years", TRUE, "8 Years")</f>
        <v>3-5 Years</v>
      </c>
      <c r="L139" s="4" t="s">
        <v>49</v>
      </c>
      <c r="M139" s="4">
        <v>94.7</v>
      </c>
      <c r="N139" s="4">
        <v>91.1</v>
      </c>
      <c r="O139" s="4">
        <v>13</v>
      </c>
      <c r="P139" s="4">
        <v>2</v>
      </c>
      <c r="Q139" s="4" t="s">
        <v>32</v>
      </c>
      <c r="R139" s="5"/>
      <c r="S139" s="4" t="s">
        <v>75</v>
      </c>
    </row>
    <row r="140" spans="1:19" x14ac:dyDescent="0.3">
      <c r="A140" s="4">
        <v>139</v>
      </c>
      <c r="B140" s="4" t="s">
        <v>209</v>
      </c>
      <c r="C140" s="4" t="s">
        <v>46</v>
      </c>
      <c r="D140" s="4">
        <v>41</v>
      </c>
      <c r="E140" s="4" t="str" cm="1">
        <f t="array" ref="E140">_xlfn.IFS(Table1[[#This Row],[Age]]&lt;=30, "18-30",Table1[[#This Row],[Age]]&lt;=40, "31-40", Table1[[#This Row],[Age]]&lt;=50, "41-50", TRUE, "51-65")</f>
        <v>41-50</v>
      </c>
      <c r="F140" s="4" t="s">
        <v>85</v>
      </c>
      <c r="G140" s="4" t="s">
        <v>103</v>
      </c>
      <c r="H140" s="4">
        <v>55000</v>
      </c>
      <c r="I140" s="5">
        <v>43886</v>
      </c>
      <c r="J140" s="4">
        <v>6.6</v>
      </c>
      <c r="K140" s="4" t="str" cm="1">
        <f t="array" ref="K140">_xlfn.IFS(Table1[[#This Row],[Years_of_Service]]&lt;=2, "0-2 Years", Table1[[#This Row],[Years_of_Service]]&lt;=5, "3-5 Years", Table1[[#This Row],[Years_of_Service]]&lt;=8, "6-8 Years", TRUE, "8 Years")</f>
        <v>6-8 Years</v>
      </c>
      <c r="L140" s="4" t="s">
        <v>37</v>
      </c>
      <c r="M140" s="4">
        <v>68.2</v>
      </c>
      <c r="N140" s="4">
        <v>92.5</v>
      </c>
      <c r="O140" s="4">
        <v>22</v>
      </c>
      <c r="P140" s="4">
        <v>14</v>
      </c>
      <c r="Q140" s="4" t="s">
        <v>32</v>
      </c>
      <c r="R140" s="5"/>
      <c r="S140" s="4" t="s">
        <v>39</v>
      </c>
    </row>
    <row r="141" spans="1:19" x14ac:dyDescent="0.3">
      <c r="A141" s="4">
        <v>140</v>
      </c>
      <c r="B141" s="4" t="s">
        <v>210</v>
      </c>
      <c r="C141" s="4" t="s">
        <v>46</v>
      </c>
      <c r="D141" s="4">
        <v>48</v>
      </c>
      <c r="E141" s="4" t="str" cm="1">
        <f t="array" ref="E141">_xlfn.IFS(Table1[[#This Row],[Age]]&lt;=30, "18-30",Table1[[#This Row],[Age]]&lt;=40, "31-40", Table1[[#This Row],[Age]]&lt;=50, "41-50", TRUE, "51-65")</f>
        <v>41-50</v>
      </c>
      <c r="F141" s="4" t="s">
        <v>58</v>
      </c>
      <c r="G141" s="4" t="s">
        <v>136</v>
      </c>
      <c r="H141" s="4">
        <v>60000</v>
      </c>
      <c r="I141" s="5">
        <v>44590</v>
      </c>
      <c r="J141" s="4">
        <v>4.7</v>
      </c>
      <c r="K141" s="4" t="str" cm="1">
        <f t="array" ref="K141">_xlfn.IFS(Table1[[#This Row],[Years_of_Service]]&lt;=2, "0-2 Years", Table1[[#This Row],[Years_of_Service]]&lt;=5, "3-5 Years", Table1[[#This Row],[Years_of_Service]]&lt;=8, "6-8 Years", TRUE, "8 Years")</f>
        <v>3-5 Years</v>
      </c>
      <c r="L141" s="4" t="s">
        <v>43</v>
      </c>
      <c r="M141" s="4">
        <v>82.5</v>
      </c>
      <c r="N141" s="4">
        <v>95.9</v>
      </c>
      <c r="O141" s="4">
        <v>21</v>
      </c>
      <c r="P141" s="4">
        <v>12</v>
      </c>
      <c r="Q141" s="4" t="s">
        <v>32</v>
      </c>
      <c r="R141" s="5"/>
      <c r="S141" s="4" t="s">
        <v>39</v>
      </c>
    </row>
    <row r="142" spans="1:19" x14ac:dyDescent="0.3">
      <c r="A142" s="4">
        <v>141</v>
      </c>
      <c r="B142" s="4" t="s">
        <v>211</v>
      </c>
      <c r="C142" s="4" t="s">
        <v>28</v>
      </c>
      <c r="D142" s="4">
        <v>22</v>
      </c>
      <c r="E142" s="4" t="str" cm="1">
        <f t="array" ref="E142">_xlfn.IFS(Table1[[#This Row],[Age]]&lt;=30, "18-30",Table1[[#This Row],[Age]]&lt;=40, "31-40", Table1[[#This Row],[Age]]&lt;=50, "41-50", TRUE, "51-65")</f>
        <v>18-30</v>
      </c>
      <c r="F142" s="4" t="s">
        <v>85</v>
      </c>
      <c r="G142" s="4" t="s">
        <v>108</v>
      </c>
      <c r="H142" s="4">
        <v>51000</v>
      </c>
      <c r="I142" s="5">
        <v>44050</v>
      </c>
      <c r="J142" s="4">
        <v>6.2</v>
      </c>
      <c r="K142" s="4" t="str" cm="1">
        <f t="array" ref="K142">_xlfn.IFS(Table1[[#This Row],[Years_of_Service]]&lt;=2, "0-2 Years", Table1[[#This Row],[Years_of_Service]]&lt;=5, "3-5 Years", Table1[[#This Row],[Years_of_Service]]&lt;=8, "6-8 Years", TRUE, "8 Years")</f>
        <v>6-8 Years</v>
      </c>
      <c r="L142" s="4" t="s">
        <v>49</v>
      </c>
      <c r="M142" s="4">
        <v>73.8</v>
      </c>
      <c r="N142" s="4">
        <v>84.2</v>
      </c>
      <c r="O142" s="4">
        <v>11</v>
      </c>
      <c r="P142" s="4">
        <v>11</v>
      </c>
      <c r="Q142" s="4" t="s">
        <v>32</v>
      </c>
      <c r="R142" s="5"/>
      <c r="S142" s="4" t="s">
        <v>75</v>
      </c>
    </row>
    <row r="143" spans="1:19" x14ac:dyDescent="0.3">
      <c r="A143" s="4">
        <v>142</v>
      </c>
      <c r="B143" s="4" t="s">
        <v>212</v>
      </c>
      <c r="C143" s="4" t="s">
        <v>28</v>
      </c>
      <c r="D143" s="4">
        <v>49</v>
      </c>
      <c r="E143" s="4" t="str" cm="1">
        <f t="array" ref="E143">_xlfn.IFS(Table1[[#This Row],[Age]]&lt;=30, "18-30",Table1[[#This Row],[Age]]&lt;=40, "31-40", Table1[[#This Row],[Age]]&lt;=50, "41-50", TRUE, "51-65")</f>
        <v>41-50</v>
      </c>
      <c r="F143" s="4" t="s">
        <v>85</v>
      </c>
      <c r="G143" s="4" t="s">
        <v>103</v>
      </c>
      <c r="H143" s="4">
        <v>31000</v>
      </c>
      <c r="I143" s="5">
        <v>44985</v>
      </c>
      <c r="J143" s="4">
        <v>3.6</v>
      </c>
      <c r="K143" s="4" t="str" cm="1">
        <f t="array" ref="K143">_xlfn.IFS(Table1[[#This Row],[Years_of_Service]]&lt;=2, "0-2 Years", Table1[[#This Row],[Years_of_Service]]&lt;=5, "3-5 Years", Table1[[#This Row],[Years_of_Service]]&lt;=8, "6-8 Years", TRUE, "8 Years")</f>
        <v>3-5 Years</v>
      </c>
      <c r="L143" s="4" t="s">
        <v>31</v>
      </c>
      <c r="M143" s="4">
        <v>71</v>
      </c>
      <c r="N143" s="4">
        <v>95.4</v>
      </c>
      <c r="O143" s="4">
        <v>11</v>
      </c>
      <c r="P143" s="4">
        <v>12</v>
      </c>
      <c r="Q143" s="4" t="s">
        <v>38</v>
      </c>
      <c r="R143" s="5">
        <v>46161</v>
      </c>
      <c r="S143" s="4" t="s">
        <v>39</v>
      </c>
    </row>
    <row r="144" spans="1:19" x14ac:dyDescent="0.3">
      <c r="A144" s="4">
        <v>143</v>
      </c>
      <c r="B144" s="4" t="s">
        <v>213</v>
      </c>
      <c r="C144" s="4" t="s">
        <v>28</v>
      </c>
      <c r="D144" s="4">
        <v>28</v>
      </c>
      <c r="E144" s="4" t="str" cm="1">
        <f t="array" ref="E144">_xlfn.IFS(Table1[[#This Row],[Age]]&lt;=30, "18-30",Table1[[#This Row],[Age]]&lt;=40, "31-40", Table1[[#This Row],[Age]]&lt;=50, "41-50", TRUE, "51-65")</f>
        <v>18-30</v>
      </c>
      <c r="F144" s="4" t="s">
        <v>29</v>
      </c>
      <c r="G144" s="4" t="s">
        <v>93</v>
      </c>
      <c r="H144" s="4">
        <v>44000</v>
      </c>
      <c r="I144" s="5">
        <v>43572</v>
      </c>
      <c r="J144" s="4">
        <v>7.5</v>
      </c>
      <c r="K144" s="4" t="str" cm="1">
        <f t="array" ref="K144">_xlfn.IFS(Table1[[#This Row],[Years_of_Service]]&lt;=2, "0-2 Years", Table1[[#This Row],[Years_of_Service]]&lt;=5, "3-5 Years", Table1[[#This Row],[Years_of_Service]]&lt;=8, "6-8 Years", TRUE, "8 Years")</f>
        <v>6-8 Years</v>
      </c>
      <c r="L144" s="4" t="s">
        <v>98</v>
      </c>
      <c r="M144" s="4">
        <v>71.599999999999994</v>
      </c>
      <c r="N144" s="4">
        <v>91.8</v>
      </c>
      <c r="O144" s="4">
        <v>22</v>
      </c>
      <c r="P144" s="4">
        <v>14</v>
      </c>
      <c r="Q144" s="4" t="s">
        <v>32</v>
      </c>
      <c r="R144" s="5"/>
      <c r="S144" s="4" t="s">
        <v>60</v>
      </c>
    </row>
    <row r="145" spans="1:19" x14ac:dyDescent="0.3">
      <c r="A145" s="4">
        <v>144</v>
      </c>
      <c r="B145" s="4" t="s">
        <v>214</v>
      </c>
      <c r="C145" s="4" t="s">
        <v>46</v>
      </c>
      <c r="D145" s="4">
        <v>33</v>
      </c>
      <c r="E145" s="4" t="str" cm="1">
        <f t="array" ref="E145">_xlfn.IFS(Table1[[#This Row],[Age]]&lt;=30, "18-30",Table1[[#This Row],[Age]]&lt;=40, "31-40", Table1[[#This Row],[Age]]&lt;=50, "41-50", TRUE, "51-65")</f>
        <v>31-40</v>
      </c>
      <c r="F145" s="4" t="s">
        <v>85</v>
      </c>
      <c r="G145" s="4" t="s">
        <v>86</v>
      </c>
      <c r="H145" s="4">
        <v>31000</v>
      </c>
      <c r="I145" s="5">
        <v>43968</v>
      </c>
      <c r="J145" s="4">
        <v>6.4</v>
      </c>
      <c r="K145" s="4" t="str" cm="1">
        <f t="array" ref="K145">_xlfn.IFS(Table1[[#This Row],[Years_of_Service]]&lt;=2, "0-2 Years", Table1[[#This Row],[Years_of_Service]]&lt;=5, "3-5 Years", Table1[[#This Row],[Years_of_Service]]&lt;=8, "6-8 Years", TRUE, "8 Years")</f>
        <v>6-8 Years</v>
      </c>
      <c r="L145" s="4" t="s">
        <v>49</v>
      </c>
      <c r="M145" s="4">
        <v>60.8</v>
      </c>
      <c r="N145" s="4">
        <v>83.3</v>
      </c>
      <c r="O145" s="4">
        <v>14</v>
      </c>
      <c r="P145" s="4">
        <v>2</v>
      </c>
      <c r="Q145" s="4" t="s">
        <v>32</v>
      </c>
      <c r="R145" s="5"/>
      <c r="S145" s="4" t="s">
        <v>39</v>
      </c>
    </row>
    <row r="146" spans="1:19" x14ac:dyDescent="0.3">
      <c r="A146" s="4">
        <v>145</v>
      </c>
      <c r="B146" s="4" t="s">
        <v>215</v>
      </c>
      <c r="C146" s="4" t="s">
        <v>28</v>
      </c>
      <c r="D146" s="4">
        <v>56</v>
      </c>
      <c r="E146" s="4" t="str" cm="1">
        <f t="array" ref="E146">_xlfn.IFS(Table1[[#This Row],[Age]]&lt;=30, "18-30",Table1[[#This Row],[Age]]&lt;=40, "31-40", Table1[[#This Row],[Age]]&lt;=50, "41-50", TRUE, "51-65")</f>
        <v>51-65</v>
      </c>
      <c r="F146" s="4" t="s">
        <v>29</v>
      </c>
      <c r="G146" s="4" t="s">
        <v>93</v>
      </c>
      <c r="H146" s="4">
        <v>43000</v>
      </c>
      <c r="I146" s="5">
        <v>45686</v>
      </c>
      <c r="J146" s="4">
        <v>1.7</v>
      </c>
      <c r="K146" s="4" t="str" cm="1">
        <f t="array" ref="K146">_xlfn.IFS(Table1[[#This Row],[Years_of_Service]]&lt;=2, "0-2 Years", Table1[[#This Row],[Years_of_Service]]&lt;=5, "3-5 Years", Table1[[#This Row],[Years_of_Service]]&lt;=8, "6-8 Years", TRUE, "8 Years")</f>
        <v>0-2 Years</v>
      </c>
      <c r="L146" s="4" t="s">
        <v>98</v>
      </c>
      <c r="M146" s="4">
        <v>61.8</v>
      </c>
      <c r="N146" s="4">
        <v>94.4</v>
      </c>
      <c r="O146" s="4">
        <v>16</v>
      </c>
      <c r="P146" s="4">
        <v>7</v>
      </c>
      <c r="Q146" s="4" t="s">
        <v>32</v>
      </c>
      <c r="R146" s="5"/>
      <c r="S146" s="4" t="s">
        <v>33</v>
      </c>
    </row>
    <row r="147" spans="1:19" x14ac:dyDescent="0.3">
      <c r="A147" s="4">
        <v>146</v>
      </c>
      <c r="B147" s="4" t="s">
        <v>216</v>
      </c>
      <c r="C147" s="4" t="s">
        <v>28</v>
      </c>
      <c r="D147" s="4">
        <v>52</v>
      </c>
      <c r="E147" s="4" t="str" cm="1">
        <f t="array" ref="E147">_xlfn.IFS(Table1[[#This Row],[Age]]&lt;=30, "18-30",Table1[[#This Row],[Age]]&lt;=40, "31-40", Table1[[#This Row],[Age]]&lt;=50, "41-50", TRUE, "51-65")</f>
        <v>51-65</v>
      </c>
      <c r="F147" s="4" t="s">
        <v>51</v>
      </c>
      <c r="G147" s="4" t="s">
        <v>73</v>
      </c>
      <c r="H147" s="4">
        <v>49000</v>
      </c>
      <c r="I147" s="5">
        <v>43573</v>
      </c>
      <c r="J147" s="4">
        <v>7.5</v>
      </c>
      <c r="K147" s="4" t="str" cm="1">
        <f t="array" ref="K147">_xlfn.IFS(Table1[[#This Row],[Years_of_Service]]&lt;=2, "0-2 Years", Table1[[#This Row],[Years_of_Service]]&lt;=5, "3-5 Years", Table1[[#This Row],[Years_of_Service]]&lt;=8, "6-8 Years", TRUE, "8 Years")</f>
        <v>6-8 Years</v>
      </c>
      <c r="L147" s="4" t="s">
        <v>31</v>
      </c>
      <c r="M147" s="4">
        <v>70.5</v>
      </c>
      <c r="N147" s="4">
        <v>92</v>
      </c>
      <c r="O147" s="4">
        <v>4</v>
      </c>
      <c r="P147" s="4">
        <v>2</v>
      </c>
      <c r="Q147" s="4" t="s">
        <v>32</v>
      </c>
      <c r="R147" s="5"/>
      <c r="S147" s="4" t="s">
        <v>33</v>
      </c>
    </row>
    <row r="148" spans="1:19" x14ac:dyDescent="0.3">
      <c r="A148" s="4">
        <v>147</v>
      </c>
      <c r="B148" s="4" t="s">
        <v>217</v>
      </c>
      <c r="C148" s="4" t="s">
        <v>46</v>
      </c>
      <c r="D148" s="4">
        <v>54</v>
      </c>
      <c r="E148" s="4" t="str" cm="1">
        <f t="array" ref="E148">_xlfn.IFS(Table1[[#This Row],[Age]]&lt;=30, "18-30",Table1[[#This Row],[Age]]&lt;=40, "31-40", Table1[[#This Row],[Age]]&lt;=50, "41-50", TRUE, "51-65")</f>
        <v>51-65</v>
      </c>
      <c r="F148" s="4" t="s">
        <v>47</v>
      </c>
      <c r="G148" s="4" t="s">
        <v>89</v>
      </c>
      <c r="H148" s="4">
        <v>47000</v>
      </c>
      <c r="I148" s="5">
        <v>45148</v>
      </c>
      <c r="J148" s="4">
        <v>3.2</v>
      </c>
      <c r="K148" s="4" t="str" cm="1">
        <f t="array" ref="K148">_xlfn.IFS(Table1[[#This Row],[Years_of_Service]]&lt;=2, "0-2 Years", Table1[[#This Row],[Years_of_Service]]&lt;=5, "3-5 Years", Table1[[#This Row],[Years_of_Service]]&lt;=8, "6-8 Years", TRUE, "8 Years")</f>
        <v>3-5 Years</v>
      </c>
      <c r="L148" s="4" t="s">
        <v>53</v>
      </c>
      <c r="M148" s="4">
        <v>58.2</v>
      </c>
      <c r="N148" s="4">
        <v>99</v>
      </c>
      <c r="O148" s="4">
        <v>14</v>
      </c>
      <c r="P148" s="4">
        <v>16</v>
      </c>
      <c r="Q148" s="4" t="s">
        <v>32</v>
      </c>
      <c r="R148" s="5"/>
      <c r="S148" s="4" t="s">
        <v>39</v>
      </c>
    </row>
    <row r="149" spans="1:19" x14ac:dyDescent="0.3">
      <c r="A149" s="4">
        <v>148</v>
      </c>
      <c r="B149" s="4" t="s">
        <v>218</v>
      </c>
      <c r="C149" s="4" t="s">
        <v>28</v>
      </c>
      <c r="D149" s="4">
        <v>29</v>
      </c>
      <c r="E149" s="4" t="str" cm="1">
        <f t="array" ref="E149">_xlfn.IFS(Table1[[#This Row],[Age]]&lt;=30, "18-30",Table1[[#This Row],[Age]]&lt;=40, "31-40", Table1[[#This Row],[Age]]&lt;=50, "41-50", TRUE, "51-65")</f>
        <v>18-30</v>
      </c>
      <c r="F149" s="4" t="s">
        <v>51</v>
      </c>
      <c r="G149" s="4" t="s">
        <v>52</v>
      </c>
      <c r="H149" s="4">
        <v>24000</v>
      </c>
      <c r="I149" s="5">
        <v>45238</v>
      </c>
      <c r="J149" s="4">
        <v>2.9</v>
      </c>
      <c r="K149" s="4" t="str" cm="1">
        <f t="array" ref="K149">_xlfn.IFS(Table1[[#This Row],[Years_of_Service]]&lt;=2, "0-2 Years", Table1[[#This Row],[Years_of_Service]]&lt;=5, "3-5 Years", Table1[[#This Row],[Years_of_Service]]&lt;=8, "6-8 Years", TRUE, "8 Years")</f>
        <v>3-5 Years</v>
      </c>
      <c r="L149" s="4" t="s">
        <v>31</v>
      </c>
      <c r="M149" s="4">
        <v>76.599999999999994</v>
      </c>
      <c r="N149" s="4">
        <v>97.2</v>
      </c>
      <c r="O149" s="4">
        <v>4</v>
      </c>
      <c r="P149" s="4">
        <v>9</v>
      </c>
      <c r="Q149" s="4" t="s">
        <v>32</v>
      </c>
      <c r="R149" s="5"/>
      <c r="S149" s="4" t="s">
        <v>60</v>
      </c>
    </row>
    <row r="150" spans="1:19" x14ac:dyDescent="0.3">
      <c r="A150" s="4">
        <v>149</v>
      </c>
      <c r="B150" s="4" t="s">
        <v>219</v>
      </c>
      <c r="C150" s="4" t="s">
        <v>28</v>
      </c>
      <c r="D150" s="4">
        <v>43</v>
      </c>
      <c r="E150" s="4" t="str" cm="1">
        <f t="array" ref="E150">_xlfn.IFS(Table1[[#This Row],[Age]]&lt;=30, "18-30",Table1[[#This Row],[Age]]&lt;=40, "31-40", Table1[[#This Row],[Age]]&lt;=50, "41-50", TRUE, "51-65")</f>
        <v>41-50</v>
      </c>
      <c r="F150" s="4" t="s">
        <v>51</v>
      </c>
      <c r="G150" s="4" t="s">
        <v>55</v>
      </c>
      <c r="H150" s="4">
        <v>56000</v>
      </c>
      <c r="I150" s="5">
        <v>45591</v>
      </c>
      <c r="J150" s="4">
        <v>1.9</v>
      </c>
      <c r="K150" s="4" t="str" cm="1">
        <f t="array" ref="K150">_xlfn.IFS(Table1[[#This Row],[Years_of_Service]]&lt;=2, "0-2 Years", Table1[[#This Row],[Years_of_Service]]&lt;=5, "3-5 Years", Table1[[#This Row],[Years_of_Service]]&lt;=8, "6-8 Years", TRUE, "8 Years")</f>
        <v>0-2 Years</v>
      </c>
      <c r="L150" s="4" t="s">
        <v>37</v>
      </c>
      <c r="M150" s="4">
        <v>65.8</v>
      </c>
      <c r="N150" s="4">
        <v>93.1</v>
      </c>
      <c r="O150" s="4">
        <v>20</v>
      </c>
      <c r="P150" s="4">
        <v>9</v>
      </c>
      <c r="Q150" s="4" t="s">
        <v>38</v>
      </c>
      <c r="R150" s="5">
        <v>46020</v>
      </c>
      <c r="S150" s="4" t="s">
        <v>44</v>
      </c>
    </row>
    <row r="151" spans="1:19" x14ac:dyDescent="0.3">
      <c r="A151" s="4">
        <v>150</v>
      </c>
      <c r="B151" s="4" t="s">
        <v>220</v>
      </c>
      <c r="C151" s="4" t="s">
        <v>28</v>
      </c>
      <c r="D151" s="4">
        <v>58</v>
      </c>
      <c r="E151" s="4" t="str" cm="1">
        <f t="array" ref="E151">_xlfn.IFS(Table1[[#This Row],[Age]]&lt;=30, "18-30",Table1[[#This Row],[Age]]&lt;=40, "31-40", Table1[[#This Row],[Age]]&lt;=50, "41-50", TRUE, "51-65")</f>
        <v>51-65</v>
      </c>
      <c r="F151" s="4" t="s">
        <v>85</v>
      </c>
      <c r="G151" s="4" t="s">
        <v>103</v>
      </c>
      <c r="H151" s="4">
        <v>31000</v>
      </c>
      <c r="I151" s="5">
        <v>45844</v>
      </c>
      <c r="J151" s="4">
        <v>1.3</v>
      </c>
      <c r="K151" s="4" t="str" cm="1">
        <f t="array" ref="K151">_xlfn.IFS(Table1[[#This Row],[Years_of_Service]]&lt;=2, "0-2 Years", Table1[[#This Row],[Years_of_Service]]&lt;=5, "3-5 Years", Table1[[#This Row],[Years_of_Service]]&lt;=8, "6-8 Years", TRUE, "8 Years")</f>
        <v>0-2 Years</v>
      </c>
      <c r="L151" s="4" t="s">
        <v>31</v>
      </c>
      <c r="M151" s="4">
        <v>61.6</v>
      </c>
      <c r="N151" s="4">
        <v>93.5</v>
      </c>
      <c r="O151" s="4">
        <v>1</v>
      </c>
      <c r="P151" s="4">
        <v>0</v>
      </c>
      <c r="Q151" s="4" t="s">
        <v>38</v>
      </c>
      <c r="R151" s="5">
        <v>45956</v>
      </c>
      <c r="S151" s="4" t="s">
        <v>33</v>
      </c>
    </row>
    <row r="152" spans="1:19" x14ac:dyDescent="0.3">
      <c r="A152" s="4">
        <v>151</v>
      </c>
      <c r="B152" s="4" t="s">
        <v>221</v>
      </c>
      <c r="C152" s="4" t="s">
        <v>28</v>
      </c>
      <c r="D152" s="4">
        <v>57</v>
      </c>
      <c r="E152" s="4" t="str" cm="1">
        <f t="array" ref="E152">_xlfn.IFS(Table1[[#This Row],[Age]]&lt;=30, "18-30",Table1[[#This Row],[Age]]&lt;=40, "31-40", Table1[[#This Row],[Age]]&lt;=50, "41-50", TRUE, "51-65")</f>
        <v>51-65</v>
      </c>
      <c r="F152" s="4" t="s">
        <v>35</v>
      </c>
      <c r="G152" s="4" t="s">
        <v>101</v>
      </c>
      <c r="H152" s="4">
        <v>52000</v>
      </c>
      <c r="I152" s="5">
        <v>45172</v>
      </c>
      <c r="J152" s="4">
        <v>3.1</v>
      </c>
      <c r="K152" s="4" t="str" cm="1">
        <f t="array" ref="K152">_xlfn.IFS(Table1[[#This Row],[Years_of_Service]]&lt;=2, "0-2 Years", Table1[[#This Row],[Years_of_Service]]&lt;=5, "3-5 Years", Table1[[#This Row],[Years_of_Service]]&lt;=8, "6-8 Years", TRUE, "8 Years")</f>
        <v>3-5 Years</v>
      </c>
      <c r="L152" s="4" t="s">
        <v>53</v>
      </c>
      <c r="M152" s="4">
        <v>93.2</v>
      </c>
      <c r="N152" s="4">
        <v>91.5</v>
      </c>
      <c r="O152" s="4">
        <v>7</v>
      </c>
      <c r="P152" s="4">
        <v>12</v>
      </c>
      <c r="Q152" s="4" t="s">
        <v>32</v>
      </c>
      <c r="R152" s="5"/>
      <c r="S152" s="4" t="s">
        <v>39</v>
      </c>
    </row>
    <row r="153" spans="1:19" x14ac:dyDescent="0.3">
      <c r="A153" s="4">
        <v>152</v>
      </c>
      <c r="B153" s="4" t="s">
        <v>222</v>
      </c>
      <c r="C153" s="4" t="s">
        <v>28</v>
      </c>
      <c r="D153" s="4">
        <v>31</v>
      </c>
      <c r="E153" s="4" t="str" cm="1">
        <f t="array" ref="E153">_xlfn.IFS(Table1[[#This Row],[Age]]&lt;=30, "18-30",Table1[[#This Row],[Age]]&lt;=40, "31-40", Table1[[#This Row],[Age]]&lt;=50, "41-50", TRUE, "51-65")</f>
        <v>31-40</v>
      </c>
      <c r="F153" s="4" t="s">
        <v>58</v>
      </c>
      <c r="G153" s="4" t="s">
        <v>136</v>
      </c>
      <c r="H153" s="4">
        <v>50000</v>
      </c>
      <c r="I153" s="5">
        <v>45266</v>
      </c>
      <c r="J153" s="4">
        <v>2.8</v>
      </c>
      <c r="K153" s="4" t="str" cm="1">
        <f t="array" ref="K153">_xlfn.IFS(Table1[[#This Row],[Years_of_Service]]&lt;=2, "0-2 Years", Table1[[#This Row],[Years_of_Service]]&lt;=5, "3-5 Years", Table1[[#This Row],[Years_of_Service]]&lt;=8, "6-8 Years", TRUE, "8 Years")</f>
        <v>3-5 Years</v>
      </c>
      <c r="L153" s="4" t="s">
        <v>31</v>
      </c>
      <c r="M153" s="4">
        <v>72.900000000000006</v>
      </c>
      <c r="N153" s="4">
        <v>90.1</v>
      </c>
      <c r="O153" s="4">
        <v>4</v>
      </c>
      <c r="P153" s="4">
        <v>10</v>
      </c>
      <c r="Q153" s="4" t="s">
        <v>32</v>
      </c>
      <c r="R153" s="5"/>
      <c r="S153" s="4" t="s">
        <v>39</v>
      </c>
    </row>
    <row r="154" spans="1:19" x14ac:dyDescent="0.3">
      <c r="A154" s="4">
        <v>153</v>
      </c>
      <c r="B154" s="4" t="s">
        <v>223</v>
      </c>
      <c r="C154" s="4" t="s">
        <v>46</v>
      </c>
      <c r="D154" s="4">
        <v>29</v>
      </c>
      <c r="E154" s="4" t="str" cm="1">
        <f t="array" ref="E154">_xlfn.IFS(Table1[[#This Row],[Age]]&lt;=30, "18-30",Table1[[#This Row],[Age]]&lt;=40, "31-40", Table1[[#This Row],[Age]]&lt;=50, "41-50", TRUE, "51-65")</f>
        <v>18-30</v>
      </c>
      <c r="F154" s="4" t="s">
        <v>29</v>
      </c>
      <c r="G154" s="4" t="s">
        <v>93</v>
      </c>
      <c r="H154" s="4">
        <v>41000</v>
      </c>
      <c r="I154" s="5">
        <v>44983</v>
      </c>
      <c r="J154" s="4">
        <v>3.6</v>
      </c>
      <c r="K154" s="4" t="str" cm="1">
        <f t="array" ref="K154">_xlfn.IFS(Table1[[#This Row],[Years_of_Service]]&lt;=2, "0-2 Years", Table1[[#This Row],[Years_of_Service]]&lt;=5, "3-5 Years", Table1[[#This Row],[Years_of_Service]]&lt;=8, "6-8 Years", TRUE, "8 Years")</f>
        <v>3-5 Years</v>
      </c>
      <c r="L154" s="4" t="s">
        <v>37</v>
      </c>
      <c r="M154" s="4">
        <v>65.400000000000006</v>
      </c>
      <c r="N154" s="4">
        <v>84.1</v>
      </c>
      <c r="O154" s="4">
        <v>4</v>
      </c>
      <c r="P154" s="4">
        <v>3</v>
      </c>
      <c r="Q154" s="4" t="s">
        <v>32</v>
      </c>
      <c r="R154" s="5"/>
      <c r="S154" s="4" t="s">
        <v>33</v>
      </c>
    </row>
    <row r="155" spans="1:19" x14ac:dyDescent="0.3">
      <c r="A155" s="4">
        <v>154</v>
      </c>
      <c r="B155" s="4" t="s">
        <v>224</v>
      </c>
      <c r="C155" s="4" t="s">
        <v>46</v>
      </c>
      <c r="D155" s="4">
        <v>36</v>
      </c>
      <c r="E155" s="4" t="str" cm="1">
        <f t="array" ref="E155">_xlfn.IFS(Table1[[#This Row],[Age]]&lt;=30, "18-30",Table1[[#This Row],[Age]]&lt;=40, "31-40", Table1[[#This Row],[Age]]&lt;=50, "41-50", TRUE, "51-65")</f>
        <v>31-40</v>
      </c>
      <c r="F155" s="4" t="s">
        <v>47</v>
      </c>
      <c r="G155" s="4" t="s">
        <v>89</v>
      </c>
      <c r="H155" s="4">
        <v>44000</v>
      </c>
      <c r="I155" s="5">
        <v>44120</v>
      </c>
      <c r="J155" s="4">
        <v>6</v>
      </c>
      <c r="K155" s="4" t="str" cm="1">
        <f t="array" ref="K155">_xlfn.IFS(Table1[[#This Row],[Years_of_Service]]&lt;=2, "0-2 Years", Table1[[#This Row],[Years_of_Service]]&lt;=5, "3-5 Years", Table1[[#This Row],[Years_of_Service]]&lt;=8, "6-8 Years", TRUE, "8 Years")</f>
        <v>6-8 Years</v>
      </c>
      <c r="L155" s="4" t="s">
        <v>37</v>
      </c>
      <c r="M155" s="4">
        <v>90</v>
      </c>
      <c r="N155" s="4">
        <v>98.3</v>
      </c>
      <c r="O155" s="4">
        <v>24</v>
      </c>
      <c r="P155" s="4">
        <v>5</v>
      </c>
      <c r="Q155" s="4" t="s">
        <v>32</v>
      </c>
      <c r="R155" s="5"/>
      <c r="S155" s="4" t="s">
        <v>75</v>
      </c>
    </row>
    <row r="156" spans="1:19" x14ac:dyDescent="0.3">
      <c r="A156" s="4">
        <v>155</v>
      </c>
      <c r="B156" s="4" t="s">
        <v>225</v>
      </c>
      <c r="C156" s="4" t="s">
        <v>46</v>
      </c>
      <c r="D156" s="4">
        <v>40</v>
      </c>
      <c r="E156" s="4" t="str" cm="1">
        <f t="array" ref="E156">_xlfn.IFS(Table1[[#This Row],[Age]]&lt;=30, "18-30",Table1[[#This Row],[Age]]&lt;=40, "31-40", Table1[[#This Row],[Age]]&lt;=50, "41-50", TRUE, "51-65")</f>
        <v>31-40</v>
      </c>
      <c r="F156" s="4" t="s">
        <v>85</v>
      </c>
      <c r="G156" s="4" t="s">
        <v>86</v>
      </c>
      <c r="H156" s="4">
        <v>65000</v>
      </c>
      <c r="I156" s="5">
        <v>45503</v>
      </c>
      <c r="J156" s="4">
        <v>2.2000000000000002</v>
      </c>
      <c r="K156" s="4" t="str" cm="1">
        <f t="array" ref="K156">_xlfn.IFS(Table1[[#This Row],[Years_of_Service]]&lt;=2, "0-2 Years", Table1[[#This Row],[Years_of_Service]]&lt;=5, "3-5 Years", Table1[[#This Row],[Years_of_Service]]&lt;=8, "6-8 Years", TRUE, "8 Years")</f>
        <v>3-5 Years</v>
      </c>
      <c r="L156" s="4" t="s">
        <v>31</v>
      </c>
      <c r="M156" s="4">
        <v>76.7</v>
      </c>
      <c r="N156" s="4">
        <v>98.9</v>
      </c>
      <c r="O156" s="4">
        <v>11</v>
      </c>
      <c r="P156" s="4">
        <v>1</v>
      </c>
      <c r="Q156" s="4" t="s">
        <v>32</v>
      </c>
      <c r="R156" s="5"/>
      <c r="S156" s="4" t="s">
        <v>33</v>
      </c>
    </row>
    <row r="157" spans="1:19" x14ac:dyDescent="0.3">
      <c r="A157" s="4">
        <v>156</v>
      </c>
      <c r="B157" s="4" t="s">
        <v>226</v>
      </c>
      <c r="C157" s="4" t="s">
        <v>46</v>
      </c>
      <c r="D157" s="4">
        <v>39</v>
      </c>
      <c r="E157" s="4" t="str" cm="1">
        <f t="array" ref="E157">_xlfn.IFS(Table1[[#This Row],[Age]]&lt;=30, "18-30",Table1[[#This Row],[Age]]&lt;=40, "31-40", Table1[[#This Row],[Age]]&lt;=50, "41-50", TRUE, "51-65")</f>
        <v>31-40</v>
      </c>
      <c r="F157" s="4" t="s">
        <v>47</v>
      </c>
      <c r="G157" s="4" t="s">
        <v>89</v>
      </c>
      <c r="H157" s="4">
        <v>48000</v>
      </c>
      <c r="I157" s="5">
        <v>45664</v>
      </c>
      <c r="J157" s="4">
        <v>1.7</v>
      </c>
      <c r="K157" s="4" t="str" cm="1">
        <f t="array" ref="K157">_xlfn.IFS(Table1[[#This Row],[Years_of_Service]]&lt;=2, "0-2 Years", Table1[[#This Row],[Years_of_Service]]&lt;=5, "3-5 Years", Table1[[#This Row],[Years_of_Service]]&lt;=8, "6-8 Years", TRUE, "8 Years")</f>
        <v>0-2 Years</v>
      </c>
      <c r="L157" s="4" t="s">
        <v>98</v>
      </c>
      <c r="M157" s="4">
        <v>55.4</v>
      </c>
      <c r="N157" s="4">
        <v>83.9</v>
      </c>
      <c r="O157" s="4">
        <v>23</v>
      </c>
      <c r="P157" s="4">
        <v>11</v>
      </c>
      <c r="Q157" s="4" t="s">
        <v>32</v>
      </c>
      <c r="R157" s="5"/>
      <c r="S157" s="4" t="s">
        <v>75</v>
      </c>
    </row>
    <row r="158" spans="1:19" x14ac:dyDescent="0.3">
      <c r="A158" s="4">
        <v>157</v>
      </c>
      <c r="B158" s="4" t="s">
        <v>227</v>
      </c>
      <c r="C158" s="4" t="s">
        <v>46</v>
      </c>
      <c r="D158" s="4">
        <v>24</v>
      </c>
      <c r="E158" s="4" t="str" cm="1">
        <f t="array" ref="E158">_xlfn.IFS(Table1[[#This Row],[Age]]&lt;=30, "18-30",Table1[[#This Row],[Age]]&lt;=40, "31-40", Table1[[#This Row],[Age]]&lt;=50, "41-50", TRUE, "51-65")</f>
        <v>18-30</v>
      </c>
      <c r="F158" s="4" t="s">
        <v>47</v>
      </c>
      <c r="G158" s="4" t="s">
        <v>48</v>
      </c>
      <c r="H158" s="4">
        <v>36000</v>
      </c>
      <c r="I158" s="5">
        <v>45801</v>
      </c>
      <c r="J158" s="4">
        <v>1.4</v>
      </c>
      <c r="K158" s="4" t="str" cm="1">
        <f t="array" ref="K158">_xlfn.IFS(Table1[[#This Row],[Years_of_Service]]&lt;=2, "0-2 Years", Table1[[#This Row],[Years_of_Service]]&lt;=5, "3-5 Years", Table1[[#This Row],[Years_of_Service]]&lt;=8, "6-8 Years", TRUE, "8 Years")</f>
        <v>0-2 Years</v>
      </c>
      <c r="L158" s="4" t="s">
        <v>31</v>
      </c>
      <c r="M158" s="4">
        <v>67.400000000000006</v>
      </c>
      <c r="N158" s="4">
        <v>88.8</v>
      </c>
      <c r="O158" s="4">
        <v>8</v>
      </c>
      <c r="P158" s="4">
        <v>3</v>
      </c>
      <c r="Q158" s="4" t="s">
        <v>32</v>
      </c>
      <c r="R158" s="5"/>
      <c r="S158" s="4" t="s">
        <v>60</v>
      </c>
    </row>
    <row r="159" spans="1:19" x14ac:dyDescent="0.3">
      <c r="A159" s="4">
        <v>158</v>
      </c>
      <c r="B159" s="4" t="s">
        <v>228</v>
      </c>
      <c r="C159" s="4" t="s">
        <v>46</v>
      </c>
      <c r="D159" s="4">
        <v>42</v>
      </c>
      <c r="E159" s="4" t="str" cm="1">
        <f t="array" ref="E159">_xlfn.IFS(Table1[[#This Row],[Age]]&lt;=30, "18-30",Table1[[#This Row],[Age]]&lt;=40, "31-40", Table1[[#This Row],[Age]]&lt;=50, "41-50", TRUE, "51-65")</f>
        <v>41-50</v>
      </c>
      <c r="F159" s="4" t="s">
        <v>35</v>
      </c>
      <c r="G159" s="4" t="s">
        <v>81</v>
      </c>
      <c r="H159" s="4">
        <v>50000</v>
      </c>
      <c r="I159" s="5">
        <v>45750</v>
      </c>
      <c r="J159" s="4">
        <v>1.5</v>
      </c>
      <c r="K159" s="4" t="str" cm="1">
        <f t="array" ref="K159">_xlfn.IFS(Table1[[#This Row],[Years_of_Service]]&lt;=2, "0-2 Years", Table1[[#This Row],[Years_of_Service]]&lt;=5, "3-5 Years", Table1[[#This Row],[Years_of_Service]]&lt;=8, "6-8 Years", TRUE, "8 Years")</f>
        <v>0-2 Years</v>
      </c>
      <c r="L159" s="4" t="s">
        <v>31</v>
      </c>
      <c r="M159" s="4">
        <v>95.4</v>
      </c>
      <c r="N159" s="4">
        <v>95.2</v>
      </c>
      <c r="O159" s="4">
        <v>16</v>
      </c>
      <c r="P159" s="4">
        <v>12</v>
      </c>
      <c r="Q159" s="4" t="s">
        <v>32</v>
      </c>
      <c r="R159" s="5"/>
      <c r="S159" s="4" t="s">
        <v>44</v>
      </c>
    </row>
    <row r="160" spans="1:19" x14ac:dyDescent="0.3">
      <c r="A160" s="4">
        <v>159</v>
      </c>
      <c r="B160" s="4" t="s">
        <v>229</v>
      </c>
      <c r="C160" s="4" t="s">
        <v>28</v>
      </c>
      <c r="D160" s="4">
        <v>29</v>
      </c>
      <c r="E160" s="4" t="str" cm="1">
        <f t="array" ref="E160">_xlfn.IFS(Table1[[#This Row],[Age]]&lt;=30, "18-30",Table1[[#This Row],[Age]]&lt;=40, "31-40", Table1[[#This Row],[Age]]&lt;=50, "41-50", TRUE, "51-65")</f>
        <v>18-30</v>
      </c>
      <c r="F160" s="4" t="s">
        <v>35</v>
      </c>
      <c r="G160" s="4" t="s">
        <v>69</v>
      </c>
      <c r="H160" s="4">
        <v>59000</v>
      </c>
      <c r="I160" s="5">
        <v>44830</v>
      </c>
      <c r="J160" s="4">
        <v>4</v>
      </c>
      <c r="K160" s="4" t="str" cm="1">
        <f t="array" ref="K160">_xlfn.IFS(Table1[[#This Row],[Years_of_Service]]&lt;=2, "0-2 Years", Table1[[#This Row],[Years_of_Service]]&lt;=5, "3-5 Years", Table1[[#This Row],[Years_of_Service]]&lt;=8, "6-8 Years", TRUE, "8 Years")</f>
        <v>3-5 Years</v>
      </c>
      <c r="L160" s="4" t="s">
        <v>98</v>
      </c>
      <c r="M160" s="4">
        <v>61.4</v>
      </c>
      <c r="N160" s="4">
        <v>97.6</v>
      </c>
      <c r="O160" s="4">
        <v>19</v>
      </c>
      <c r="P160" s="4">
        <v>10</v>
      </c>
      <c r="Q160" s="4" t="s">
        <v>32</v>
      </c>
      <c r="R160" s="5"/>
      <c r="S160" s="4" t="s">
        <v>60</v>
      </c>
    </row>
    <row r="161" spans="1:19" x14ac:dyDescent="0.3">
      <c r="A161" s="4">
        <v>160</v>
      </c>
      <c r="B161" s="4" t="s">
        <v>230</v>
      </c>
      <c r="C161" s="4" t="s">
        <v>46</v>
      </c>
      <c r="D161" s="4">
        <v>58</v>
      </c>
      <c r="E161" s="4" t="str" cm="1">
        <f t="array" ref="E161">_xlfn.IFS(Table1[[#This Row],[Age]]&lt;=30, "18-30",Table1[[#This Row],[Age]]&lt;=40, "31-40", Table1[[#This Row],[Age]]&lt;=50, "41-50", TRUE, "51-65")</f>
        <v>51-65</v>
      </c>
      <c r="F161" s="4" t="s">
        <v>58</v>
      </c>
      <c r="G161" s="4" t="s">
        <v>78</v>
      </c>
      <c r="H161" s="4">
        <v>38000</v>
      </c>
      <c r="I161" s="5">
        <v>44843</v>
      </c>
      <c r="J161" s="4">
        <v>4</v>
      </c>
      <c r="K161" s="4" t="str" cm="1">
        <f t="array" ref="K161">_xlfn.IFS(Table1[[#This Row],[Years_of_Service]]&lt;=2, "0-2 Years", Table1[[#This Row],[Years_of_Service]]&lt;=5, "3-5 Years", Table1[[#This Row],[Years_of_Service]]&lt;=8, "6-8 Years", TRUE, "8 Years")</f>
        <v>3-5 Years</v>
      </c>
      <c r="L161" s="4" t="s">
        <v>49</v>
      </c>
      <c r="M161" s="4">
        <v>76.8</v>
      </c>
      <c r="N161" s="4">
        <v>90.9</v>
      </c>
      <c r="O161" s="4">
        <v>18</v>
      </c>
      <c r="P161" s="4">
        <v>9</v>
      </c>
      <c r="Q161" s="4" t="s">
        <v>32</v>
      </c>
      <c r="R161" s="5"/>
      <c r="S161" s="4" t="s">
        <v>75</v>
      </c>
    </row>
    <row r="162" spans="1:19" x14ac:dyDescent="0.3">
      <c r="A162" s="4">
        <v>161</v>
      </c>
      <c r="B162" s="4" t="s">
        <v>231</v>
      </c>
      <c r="C162" s="4" t="s">
        <v>46</v>
      </c>
      <c r="D162" s="4">
        <v>42</v>
      </c>
      <c r="E162" s="4" t="str" cm="1">
        <f t="array" ref="E162">_xlfn.IFS(Table1[[#This Row],[Age]]&lt;=30, "18-30",Table1[[#This Row],[Age]]&lt;=40, "31-40", Table1[[#This Row],[Age]]&lt;=50, "41-50", TRUE, "51-65")</f>
        <v>41-50</v>
      </c>
      <c r="F162" s="4" t="s">
        <v>41</v>
      </c>
      <c r="G162" s="4" t="s">
        <v>42</v>
      </c>
      <c r="H162" s="4">
        <v>42000</v>
      </c>
      <c r="I162" s="5">
        <v>46225</v>
      </c>
      <c r="J162" s="4">
        <v>0.2</v>
      </c>
      <c r="K162" s="4" t="str" cm="1">
        <f t="array" ref="K162">_xlfn.IFS(Table1[[#This Row],[Years_of_Service]]&lt;=2, "0-2 Years", Table1[[#This Row],[Years_of_Service]]&lt;=5, "3-5 Years", Table1[[#This Row],[Years_of_Service]]&lt;=8, "6-8 Years", TRUE, "8 Years")</f>
        <v>0-2 Years</v>
      </c>
      <c r="L162" s="4" t="s">
        <v>31</v>
      </c>
      <c r="M162" s="4">
        <v>68.2</v>
      </c>
      <c r="N162" s="4">
        <v>97.7</v>
      </c>
      <c r="O162" s="4">
        <v>15</v>
      </c>
      <c r="P162" s="4">
        <v>8</v>
      </c>
      <c r="Q162" s="4" t="s">
        <v>32</v>
      </c>
      <c r="R162" s="5"/>
      <c r="S162" s="4" t="s">
        <v>44</v>
      </c>
    </row>
    <row r="163" spans="1:19" x14ac:dyDescent="0.3">
      <c r="A163" s="4">
        <v>162</v>
      </c>
      <c r="B163" s="4" t="s">
        <v>232</v>
      </c>
      <c r="C163" s="4" t="s">
        <v>28</v>
      </c>
      <c r="D163" s="4">
        <v>58</v>
      </c>
      <c r="E163" s="4" t="str" cm="1">
        <f t="array" ref="E163">_xlfn.IFS(Table1[[#This Row],[Age]]&lt;=30, "18-30",Table1[[#This Row],[Age]]&lt;=40, "31-40", Table1[[#This Row],[Age]]&lt;=50, "41-50", TRUE, "51-65")</f>
        <v>51-65</v>
      </c>
      <c r="F163" s="4" t="s">
        <v>85</v>
      </c>
      <c r="G163" s="4" t="s">
        <v>103</v>
      </c>
      <c r="H163" s="4">
        <v>49000</v>
      </c>
      <c r="I163" s="5">
        <v>45433</v>
      </c>
      <c r="J163" s="4">
        <v>2.4</v>
      </c>
      <c r="K163" s="4" t="str" cm="1">
        <f t="array" ref="K163">_xlfn.IFS(Table1[[#This Row],[Years_of_Service]]&lt;=2, "0-2 Years", Table1[[#This Row],[Years_of_Service]]&lt;=5, "3-5 Years", Table1[[#This Row],[Years_of_Service]]&lt;=8, "6-8 Years", TRUE, "8 Years")</f>
        <v>3-5 Years</v>
      </c>
      <c r="L163" s="4" t="s">
        <v>37</v>
      </c>
      <c r="M163" s="4">
        <v>62.3</v>
      </c>
      <c r="N163" s="4">
        <v>93</v>
      </c>
      <c r="O163" s="4">
        <v>21</v>
      </c>
      <c r="P163" s="4">
        <v>7</v>
      </c>
      <c r="Q163" s="4" t="s">
        <v>38</v>
      </c>
      <c r="R163" s="5">
        <v>45912</v>
      </c>
      <c r="S163" s="4" t="s">
        <v>33</v>
      </c>
    </row>
    <row r="164" spans="1:19" x14ac:dyDescent="0.3">
      <c r="A164" s="4">
        <v>163</v>
      </c>
      <c r="B164" s="4" t="s">
        <v>233</v>
      </c>
      <c r="C164" s="4" t="s">
        <v>28</v>
      </c>
      <c r="D164" s="4">
        <v>33</v>
      </c>
      <c r="E164" s="4" t="str" cm="1">
        <f t="array" ref="E164">_xlfn.IFS(Table1[[#This Row],[Age]]&lt;=30, "18-30",Table1[[#This Row],[Age]]&lt;=40, "31-40", Table1[[#This Row],[Age]]&lt;=50, "41-50", TRUE, "51-65")</f>
        <v>31-40</v>
      </c>
      <c r="F164" s="4" t="s">
        <v>85</v>
      </c>
      <c r="G164" s="4" t="s">
        <v>108</v>
      </c>
      <c r="H164" s="4">
        <v>33000</v>
      </c>
      <c r="I164" s="5">
        <v>43543</v>
      </c>
      <c r="J164" s="4">
        <v>7.6</v>
      </c>
      <c r="K164" s="4" t="str" cm="1">
        <f t="array" ref="K164">_xlfn.IFS(Table1[[#This Row],[Years_of_Service]]&lt;=2, "0-2 Years", Table1[[#This Row],[Years_of_Service]]&lt;=5, "3-5 Years", Table1[[#This Row],[Years_of_Service]]&lt;=8, "6-8 Years", TRUE, "8 Years")</f>
        <v>6-8 Years</v>
      </c>
      <c r="L164" s="4" t="s">
        <v>53</v>
      </c>
      <c r="M164" s="4">
        <v>72.8</v>
      </c>
      <c r="N164" s="4">
        <v>85.6</v>
      </c>
      <c r="O164" s="4">
        <v>23</v>
      </c>
      <c r="P164" s="4">
        <v>1</v>
      </c>
      <c r="Q164" s="4" t="s">
        <v>38</v>
      </c>
      <c r="R164" s="5">
        <v>45675</v>
      </c>
      <c r="S164" s="4" t="s">
        <v>60</v>
      </c>
    </row>
    <row r="165" spans="1:19" x14ac:dyDescent="0.3">
      <c r="A165" s="4">
        <v>164</v>
      </c>
      <c r="B165" s="4" t="s">
        <v>234</v>
      </c>
      <c r="C165" s="4" t="s">
        <v>46</v>
      </c>
      <c r="D165" s="4">
        <v>51</v>
      </c>
      <c r="E165" s="4" t="str" cm="1">
        <f t="array" ref="E165">_xlfn.IFS(Table1[[#This Row],[Age]]&lt;=30, "18-30",Table1[[#This Row],[Age]]&lt;=40, "31-40", Table1[[#This Row],[Age]]&lt;=50, "41-50", TRUE, "51-65")</f>
        <v>51-65</v>
      </c>
      <c r="F165" s="4" t="s">
        <v>85</v>
      </c>
      <c r="G165" s="4" t="s">
        <v>103</v>
      </c>
      <c r="H165" s="4">
        <v>46000</v>
      </c>
      <c r="I165" s="5">
        <v>45618</v>
      </c>
      <c r="J165" s="4">
        <v>1.9</v>
      </c>
      <c r="K165" s="4" t="str" cm="1">
        <f t="array" ref="K165">_xlfn.IFS(Table1[[#This Row],[Years_of_Service]]&lt;=2, "0-2 Years", Table1[[#This Row],[Years_of_Service]]&lt;=5, "3-5 Years", Table1[[#This Row],[Years_of_Service]]&lt;=8, "6-8 Years", TRUE, "8 Years")</f>
        <v>0-2 Years</v>
      </c>
      <c r="L165" s="4" t="s">
        <v>31</v>
      </c>
      <c r="M165" s="4">
        <v>71.2</v>
      </c>
      <c r="N165" s="4">
        <v>98.7</v>
      </c>
      <c r="O165" s="4">
        <v>10</v>
      </c>
      <c r="P165" s="4">
        <v>17</v>
      </c>
      <c r="Q165" s="4" t="s">
        <v>32</v>
      </c>
      <c r="R165" s="5"/>
      <c r="S165" s="4" t="s">
        <v>39</v>
      </c>
    </row>
    <row r="166" spans="1:19" x14ac:dyDescent="0.3">
      <c r="A166" s="4">
        <v>165</v>
      </c>
      <c r="B166" s="4" t="s">
        <v>235</v>
      </c>
      <c r="C166" s="4" t="s">
        <v>46</v>
      </c>
      <c r="D166" s="4">
        <v>51</v>
      </c>
      <c r="E166" s="4" t="str" cm="1">
        <f t="array" ref="E166">_xlfn.IFS(Table1[[#This Row],[Age]]&lt;=30, "18-30",Table1[[#This Row],[Age]]&lt;=40, "31-40", Table1[[#This Row],[Age]]&lt;=50, "41-50", TRUE, "51-65")</f>
        <v>51-65</v>
      </c>
      <c r="F166" s="4" t="s">
        <v>29</v>
      </c>
      <c r="G166" s="4" t="s">
        <v>66</v>
      </c>
      <c r="H166" s="4">
        <v>53000</v>
      </c>
      <c r="I166" s="5">
        <v>44253</v>
      </c>
      <c r="J166" s="4">
        <v>5.6</v>
      </c>
      <c r="K166" s="4" t="str" cm="1">
        <f t="array" ref="K166">_xlfn.IFS(Table1[[#This Row],[Years_of_Service]]&lt;=2, "0-2 Years", Table1[[#This Row],[Years_of_Service]]&lt;=5, "3-5 Years", Table1[[#This Row],[Years_of_Service]]&lt;=8, "6-8 Years", TRUE, "8 Years")</f>
        <v>6-8 Years</v>
      </c>
      <c r="L166" s="4" t="s">
        <v>98</v>
      </c>
      <c r="M166" s="4">
        <v>67.8</v>
      </c>
      <c r="N166" s="4">
        <v>98.5</v>
      </c>
      <c r="O166" s="4">
        <v>22</v>
      </c>
      <c r="P166" s="4">
        <v>6</v>
      </c>
      <c r="Q166" s="4" t="s">
        <v>32</v>
      </c>
      <c r="R166" s="5"/>
      <c r="S166" s="4" t="s">
        <v>75</v>
      </c>
    </row>
    <row r="167" spans="1:19" x14ac:dyDescent="0.3">
      <c r="A167" s="4">
        <v>166</v>
      </c>
      <c r="B167" s="4" t="s">
        <v>236</v>
      </c>
      <c r="C167" s="4" t="s">
        <v>46</v>
      </c>
      <c r="D167" s="4">
        <v>56</v>
      </c>
      <c r="E167" s="4" t="str" cm="1">
        <f t="array" ref="E167">_xlfn.IFS(Table1[[#This Row],[Age]]&lt;=30, "18-30",Table1[[#This Row],[Age]]&lt;=40, "31-40", Table1[[#This Row],[Age]]&lt;=50, "41-50", TRUE, "51-65")</f>
        <v>51-65</v>
      </c>
      <c r="F167" s="4" t="s">
        <v>47</v>
      </c>
      <c r="G167" s="4" t="s">
        <v>89</v>
      </c>
      <c r="H167" s="4">
        <v>42000</v>
      </c>
      <c r="I167" s="5">
        <v>44586</v>
      </c>
      <c r="J167" s="4">
        <v>4.7</v>
      </c>
      <c r="K167" s="4" t="str" cm="1">
        <f t="array" ref="K167">_xlfn.IFS(Table1[[#This Row],[Years_of_Service]]&lt;=2, "0-2 Years", Table1[[#This Row],[Years_of_Service]]&lt;=5, "3-5 Years", Table1[[#This Row],[Years_of_Service]]&lt;=8, "6-8 Years", TRUE, "8 Years")</f>
        <v>3-5 Years</v>
      </c>
      <c r="L167" s="4" t="s">
        <v>53</v>
      </c>
      <c r="M167" s="4">
        <v>67.400000000000006</v>
      </c>
      <c r="N167" s="4">
        <v>92</v>
      </c>
      <c r="O167" s="4">
        <v>11</v>
      </c>
      <c r="P167" s="4">
        <v>4</v>
      </c>
      <c r="Q167" s="4" t="s">
        <v>38</v>
      </c>
      <c r="R167" s="5">
        <v>45913</v>
      </c>
      <c r="S167" s="4" t="s">
        <v>39</v>
      </c>
    </row>
    <row r="168" spans="1:19" x14ac:dyDescent="0.3">
      <c r="A168" s="4">
        <v>167</v>
      </c>
      <c r="B168" s="4" t="s">
        <v>237</v>
      </c>
      <c r="C168" s="4" t="s">
        <v>28</v>
      </c>
      <c r="D168" s="4">
        <v>43</v>
      </c>
      <c r="E168" s="4" t="str" cm="1">
        <f t="array" ref="E168">_xlfn.IFS(Table1[[#This Row],[Age]]&lt;=30, "18-30",Table1[[#This Row],[Age]]&lt;=40, "31-40", Table1[[#This Row],[Age]]&lt;=50, "41-50", TRUE, "51-65")</f>
        <v>41-50</v>
      </c>
      <c r="F168" s="4" t="s">
        <v>35</v>
      </c>
      <c r="G168" s="4" t="s">
        <v>101</v>
      </c>
      <c r="H168" s="4">
        <v>43000</v>
      </c>
      <c r="I168" s="5">
        <v>45277</v>
      </c>
      <c r="J168" s="4">
        <v>2.8</v>
      </c>
      <c r="K168" s="4" t="str" cm="1">
        <f t="array" ref="K168">_xlfn.IFS(Table1[[#This Row],[Years_of_Service]]&lt;=2, "0-2 Years", Table1[[#This Row],[Years_of_Service]]&lt;=5, "3-5 Years", Table1[[#This Row],[Years_of_Service]]&lt;=8, "6-8 Years", TRUE, "8 Years")</f>
        <v>3-5 Years</v>
      </c>
      <c r="L168" s="4" t="s">
        <v>31</v>
      </c>
      <c r="M168" s="4">
        <v>64.2</v>
      </c>
      <c r="N168" s="4">
        <v>96.5</v>
      </c>
      <c r="O168" s="4">
        <v>22</v>
      </c>
      <c r="P168" s="4">
        <v>8</v>
      </c>
      <c r="Q168" s="4" t="s">
        <v>32</v>
      </c>
      <c r="R168" s="5"/>
      <c r="S168" s="4" t="s">
        <v>60</v>
      </c>
    </row>
    <row r="169" spans="1:19" x14ac:dyDescent="0.3">
      <c r="A169" s="4">
        <v>168</v>
      </c>
      <c r="B169" s="4" t="s">
        <v>238</v>
      </c>
      <c r="C169" s="4" t="s">
        <v>28</v>
      </c>
      <c r="D169" s="4">
        <v>24</v>
      </c>
      <c r="E169" s="4" t="str" cm="1">
        <f t="array" ref="E169">_xlfn.IFS(Table1[[#This Row],[Age]]&lt;=30, "18-30",Table1[[#This Row],[Age]]&lt;=40, "31-40", Table1[[#This Row],[Age]]&lt;=50, "41-50", TRUE, "51-65")</f>
        <v>18-30</v>
      </c>
      <c r="F169" s="4" t="s">
        <v>35</v>
      </c>
      <c r="G169" s="4" t="s">
        <v>36</v>
      </c>
      <c r="H169" s="4">
        <v>38000</v>
      </c>
      <c r="I169" s="5">
        <v>46209</v>
      </c>
      <c r="J169" s="4">
        <v>0.3</v>
      </c>
      <c r="K169" s="4" t="str" cm="1">
        <f t="array" ref="K169">_xlfn.IFS(Table1[[#This Row],[Years_of_Service]]&lt;=2, "0-2 Years", Table1[[#This Row],[Years_of_Service]]&lt;=5, "3-5 Years", Table1[[#This Row],[Years_of_Service]]&lt;=8, "6-8 Years", TRUE, "8 Years")</f>
        <v>0-2 Years</v>
      </c>
      <c r="L169" s="4" t="s">
        <v>43</v>
      </c>
      <c r="M169" s="4">
        <v>93.9</v>
      </c>
      <c r="N169" s="4">
        <v>85.9</v>
      </c>
      <c r="O169" s="4">
        <v>3</v>
      </c>
      <c r="P169" s="4">
        <v>13</v>
      </c>
      <c r="Q169" s="4" t="s">
        <v>32</v>
      </c>
      <c r="R169" s="5"/>
      <c r="S169" s="4" t="s">
        <v>39</v>
      </c>
    </row>
    <row r="170" spans="1:19" x14ac:dyDescent="0.3">
      <c r="A170" s="4">
        <v>169</v>
      </c>
      <c r="B170" s="4" t="s">
        <v>239</v>
      </c>
      <c r="C170" s="4" t="s">
        <v>28</v>
      </c>
      <c r="D170" s="4">
        <v>29</v>
      </c>
      <c r="E170" s="4" t="str" cm="1">
        <f t="array" ref="E170">_xlfn.IFS(Table1[[#This Row],[Age]]&lt;=30, "18-30",Table1[[#This Row],[Age]]&lt;=40, "31-40", Table1[[#This Row],[Age]]&lt;=50, "41-50", TRUE, "51-65")</f>
        <v>18-30</v>
      </c>
      <c r="F170" s="4" t="s">
        <v>29</v>
      </c>
      <c r="G170" s="4" t="s">
        <v>93</v>
      </c>
      <c r="H170" s="4">
        <v>73000</v>
      </c>
      <c r="I170" s="5">
        <v>43487</v>
      </c>
      <c r="J170" s="4">
        <v>7.7</v>
      </c>
      <c r="K170" s="4" t="str" cm="1">
        <f t="array" ref="K170">_xlfn.IFS(Table1[[#This Row],[Years_of_Service]]&lt;=2, "0-2 Years", Table1[[#This Row],[Years_of_Service]]&lt;=5, "3-5 Years", Table1[[#This Row],[Years_of_Service]]&lt;=8, "6-8 Years", TRUE, "8 Years")</f>
        <v>6-8 Years</v>
      </c>
      <c r="L170" s="4" t="s">
        <v>53</v>
      </c>
      <c r="M170" s="4">
        <v>61.8</v>
      </c>
      <c r="N170" s="4">
        <v>93.4</v>
      </c>
      <c r="O170" s="4">
        <v>20</v>
      </c>
      <c r="P170" s="4">
        <v>6</v>
      </c>
      <c r="Q170" s="4" t="s">
        <v>32</v>
      </c>
      <c r="R170" s="5"/>
      <c r="S170" s="4" t="s">
        <v>39</v>
      </c>
    </row>
    <row r="171" spans="1:19" x14ac:dyDescent="0.3">
      <c r="A171" s="4">
        <v>170</v>
      </c>
      <c r="B171" s="4" t="s">
        <v>240</v>
      </c>
      <c r="C171" s="4" t="s">
        <v>28</v>
      </c>
      <c r="D171" s="4">
        <v>26</v>
      </c>
      <c r="E171" s="4" t="str" cm="1">
        <f t="array" ref="E171">_xlfn.IFS(Table1[[#This Row],[Age]]&lt;=30, "18-30",Table1[[#This Row],[Age]]&lt;=40, "31-40", Table1[[#This Row],[Age]]&lt;=50, "41-50", TRUE, "51-65")</f>
        <v>18-30</v>
      </c>
      <c r="F171" s="4" t="s">
        <v>47</v>
      </c>
      <c r="G171" s="4" t="s">
        <v>89</v>
      </c>
      <c r="H171" s="4">
        <v>38000</v>
      </c>
      <c r="I171" s="5">
        <v>46137</v>
      </c>
      <c r="J171" s="4">
        <v>0.5</v>
      </c>
      <c r="K171" s="4" t="str" cm="1">
        <f t="array" ref="K171">_xlfn.IFS(Table1[[#This Row],[Years_of_Service]]&lt;=2, "0-2 Years", Table1[[#This Row],[Years_of_Service]]&lt;=5, "3-5 Years", Table1[[#This Row],[Years_of_Service]]&lt;=8, "6-8 Years", TRUE, "8 Years")</f>
        <v>0-2 Years</v>
      </c>
      <c r="L171" s="4" t="s">
        <v>37</v>
      </c>
      <c r="M171" s="4">
        <v>79.7</v>
      </c>
      <c r="N171" s="4">
        <v>91.4</v>
      </c>
      <c r="O171" s="4">
        <v>13</v>
      </c>
      <c r="P171" s="4">
        <v>5</v>
      </c>
      <c r="Q171" s="4" t="s">
        <v>32</v>
      </c>
      <c r="R171" s="5"/>
      <c r="S171" s="4" t="s">
        <v>33</v>
      </c>
    </row>
    <row r="172" spans="1:19" x14ac:dyDescent="0.3">
      <c r="A172" s="4">
        <v>171</v>
      </c>
      <c r="B172" s="4" t="s">
        <v>241</v>
      </c>
      <c r="C172" s="4" t="s">
        <v>46</v>
      </c>
      <c r="D172" s="4">
        <v>32</v>
      </c>
      <c r="E172" s="4" t="str" cm="1">
        <f t="array" ref="E172">_xlfn.IFS(Table1[[#This Row],[Age]]&lt;=30, "18-30",Table1[[#This Row],[Age]]&lt;=40, "31-40", Table1[[#This Row],[Age]]&lt;=50, "41-50", TRUE, "51-65")</f>
        <v>31-40</v>
      </c>
      <c r="F172" s="4" t="s">
        <v>41</v>
      </c>
      <c r="G172" s="4" t="s">
        <v>96</v>
      </c>
      <c r="H172" s="4">
        <v>36000</v>
      </c>
      <c r="I172" s="5">
        <v>44651</v>
      </c>
      <c r="J172" s="4">
        <v>4.5</v>
      </c>
      <c r="K172" s="4" t="str" cm="1">
        <f t="array" ref="K172">_xlfn.IFS(Table1[[#This Row],[Years_of_Service]]&lt;=2, "0-2 Years", Table1[[#This Row],[Years_of_Service]]&lt;=5, "3-5 Years", Table1[[#This Row],[Years_of_Service]]&lt;=8, "6-8 Years", TRUE, "8 Years")</f>
        <v>3-5 Years</v>
      </c>
      <c r="L172" s="4" t="s">
        <v>98</v>
      </c>
      <c r="M172" s="4">
        <v>79.400000000000006</v>
      </c>
      <c r="N172" s="4">
        <v>83.9</v>
      </c>
      <c r="O172" s="4">
        <v>14</v>
      </c>
      <c r="P172" s="4">
        <v>17</v>
      </c>
      <c r="Q172" s="4" t="s">
        <v>32</v>
      </c>
      <c r="R172" s="5"/>
      <c r="S172" s="4" t="s">
        <v>44</v>
      </c>
    </row>
    <row r="173" spans="1:19" x14ac:dyDescent="0.3">
      <c r="A173" s="4">
        <v>172</v>
      </c>
      <c r="B173" s="4" t="s">
        <v>242</v>
      </c>
      <c r="C173" s="4" t="s">
        <v>46</v>
      </c>
      <c r="D173" s="4">
        <v>38</v>
      </c>
      <c r="E173" s="4" t="str" cm="1">
        <f t="array" ref="E173">_xlfn.IFS(Table1[[#This Row],[Age]]&lt;=30, "18-30",Table1[[#This Row],[Age]]&lt;=40, "31-40", Table1[[#This Row],[Age]]&lt;=50, "41-50", TRUE, "51-65")</f>
        <v>31-40</v>
      </c>
      <c r="F173" s="4" t="s">
        <v>58</v>
      </c>
      <c r="G173" s="4" t="s">
        <v>136</v>
      </c>
      <c r="H173" s="4">
        <v>50000</v>
      </c>
      <c r="I173" s="5">
        <v>44255</v>
      </c>
      <c r="J173" s="4">
        <v>5.6</v>
      </c>
      <c r="K173" s="4" t="str" cm="1">
        <f t="array" ref="K173">_xlfn.IFS(Table1[[#This Row],[Years_of_Service]]&lt;=2, "0-2 Years", Table1[[#This Row],[Years_of_Service]]&lt;=5, "3-5 Years", Table1[[#This Row],[Years_of_Service]]&lt;=8, "6-8 Years", TRUE, "8 Years")</f>
        <v>6-8 Years</v>
      </c>
      <c r="L173" s="4" t="s">
        <v>49</v>
      </c>
      <c r="M173" s="4">
        <v>89.8</v>
      </c>
      <c r="N173" s="4">
        <v>87.8</v>
      </c>
      <c r="O173" s="4">
        <v>8</v>
      </c>
      <c r="P173" s="4">
        <v>5</v>
      </c>
      <c r="Q173" s="4" t="s">
        <v>32</v>
      </c>
      <c r="R173" s="5"/>
      <c r="S173" s="4" t="s">
        <v>33</v>
      </c>
    </row>
    <row r="174" spans="1:19" x14ac:dyDescent="0.3">
      <c r="A174" s="4">
        <v>173</v>
      </c>
      <c r="B174" s="4" t="s">
        <v>243</v>
      </c>
      <c r="C174" s="4" t="s">
        <v>46</v>
      </c>
      <c r="D174" s="4">
        <v>57</v>
      </c>
      <c r="E174" s="4" t="str" cm="1">
        <f t="array" ref="E174">_xlfn.IFS(Table1[[#This Row],[Age]]&lt;=30, "18-30",Table1[[#This Row],[Age]]&lt;=40, "31-40", Table1[[#This Row],[Age]]&lt;=50, "41-50", TRUE, "51-65")</f>
        <v>51-65</v>
      </c>
      <c r="F174" s="4" t="s">
        <v>29</v>
      </c>
      <c r="G174" s="4" t="s">
        <v>93</v>
      </c>
      <c r="H174" s="4">
        <v>46000</v>
      </c>
      <c r="I174" s="5">
        <v>46228</v>
      </c>
      <c r="J174" s="4">
        <v>0.2</v>
      </c>
      <c r="K174" s="4" t="str" cm="1">
        <f t="array" ref="K174">_xlfn.IFS(Table1[[#This Row],[Years_of_Service]]&lt;=2, "0-2 Years", Table1[[#This Row],[Years_of_Service]]&lt;=5, "3-5 Years", Table1[[#This Row],[Years_of_Service]]&lt;=8, "6-8 Years", TRUE, "8 Years")</f>
        <v>0-2 Years</v>
      </c>
      <c r="L174" s="4" t="s">
        <v>31</v>
      </c>
      <c r="M174" s="4">
        <v>91.8</v>
      </c>
      <c r="N174" s="4">
        <v>97.7</v>
      </c>
      <c r="O174" s="4">
        <v>10</v>
      </c>
      <c r="P174" s="4">
        <v>2</v>
      </c>
      <c r="Q174" s="4" t="s">
        <v>32</v>
      </c>
      <c r="R174" s="5"/>
      <c r="S174" s="4" t="s">
        <v>75</v>
      </c>
    </row>
    <row r="175" spans="1:19" x14ac:dyDescent="0.3">
      <c r="A175" s="4">
        <v>174</v>
      </c>
      <c r="B175" s="4" t="s">
        <v>244</v>
      </c>
      <c r="C175" s="4" t="s">
        <v>28</v>
      </c>
      <c r="D175" s="4">
        <v>29</v>
      </c>
      <c r="E175" s="4" t="str" cm="1">
        <f t="array" ref="E175">_xlfn.IFS(Table1[[#This Row],[Age]]&lt;=30, "18-30",Table1[[#This Row],[Age]]&lt;=40, "31-40", Table1[[#This Row],[Age]]&lt;=50, "41-50", TRUE, "51-65")</f>
        <v>18-30</v>
      </c>
      <c r="F175" s="4" t="s">
        <v>29</v>
      </c>
      <c r="G175" s="4" t="s">
        <v>30</v>
      </c>
      <c r="H175" s="4">
        <v>39000</v>
      </c>
      <c r="I175" s="5">
        <v>45421</v>
      </c>
      <c r="J175" s="4">
        <v>2.4</v>
      </c>
      <c r="K175" s="4" t="str" cm="1">
        <f t="array" ref="K175">_xlfn.IFS(Table1[[#This Row],[Years_of_Service]]&lt;=2, "0-2 Years", Table1[[#This Row],[Years_of_Service]]&lt;=5, "3-5 Years", Table1[[#This Row],[Years_of_Service]]&lt;=8, "6-8 Years", TRUE, "8 Years")</f>
        <v>3-5 Years</v>
      </c>
      <c r="L175" s="4" t="s">
        <v>53</v>
      </c>
      <c r="M175" s="4">
        <v>68.900000000000006</v>
      </c>
      <c r="N175" s="4">
        <v>86.3</v>
      </c>
      <c r="O175" s="4">
        <v>7</v>
      </c>
      <c r="P175" s="4">
        <v>14</v>
      </c>
      <c r="Q175" s="4" t="s">
        <v>32</v>
      </c>
      <c r="R175" s="5"/>
      <c r="S175" s="4" t="s">
        <v>39</v>
      </c>
    </row>
    <row r="176" spans="1:19" x14ac:dyDescent="0.3">
      <c r="A176" s="4">
        <v>175</v>
      </c>
      <c r="B176" s="4" t="s">
        <v>245</v>
      </c>
      <c r="C176" s="4" t="s">
        <v>28</v>
      </c>
      <c r="D176" s="4">
        <v>37</v>
      </c>
      <c r="E176" s="4" t="str" cm="1">
        <f t="array" ref="E176">_xlfn.IFS(Table1[[#This Row],[Age]]&lt;=30, "18-30",Table1[[#This Row],[Age]]&lt;=40, "31-40", Table1[[#This Row],[Age]]&lt;=50, "41-50", TRUE, "51-65")</f>
        <v>31-40</v>
      </c>
      <c r="F176" s="4" t="s">
        <v>47</v>
      </c>
      <c r="G176" s="4" t="s">
        <v>89</v>
      </c>
      <c r="H176" s="4">
        <v>40000</v>
      </c>
      <c r="I176" s="5">
        <v>46143</v>
      </c>
      <c r="J176" s="4">
        <v>0.4</v>
      </c>
      <c r="K176" s="4" t="str" cm="1">
        <f t="array" ref="K176">_xlfn.IFS(Table1[[#This Row],[Years_of_Service]]&lt;=2, "0-2 Years", Table1[[#This Row],[Years_of_Service]]&lt;=5, "3-5 Years", Table1[[#This Row],[Years_of_Service]]&lt;=8, "6-8 Years", TRUE, "8 Years")</f>
        <v>0-2 Years</v>
      </c>
      <c r="L176" s="4" t="s">
        <v>53</v>
      </c>
      <c r="M176" s="4">
        <v>83.7</v>
      </c>
      <c r="N176" s="4">
        <v>90.1</v>
      </c>
      <c r="O176" s="4">
        <v>21</v>
      </c>
      <c r="P176" s="4">
        <v>16</v>
      </c>
      <c r="Q176" s="4" t="s">
        <v>32</v>
      </c>
      <c r="R176" s="5"/>
      <c r="S176" s="4" t="s">
        <v>39</v>
      </c>
    </row>
    <row r="177" spans="1:19" x14ac:dyDescent="0.3">
      <c r="A177" s="4">
        <v>176</v>
      </c>
      <c r="B177" s="4" t="s">
        <v>246</v>
      </c>
      <c r="C177" s="4" t="s">
        <v>46</v>
      </c>
      <c r="D177" s="4">
        <v>44</v>
      </c>
      <c r="E177" s="4" t="str" cm="1">
        <f t="array" ref="E177">_xlfn.IFS(Table1[[#This Row],[Age]]&lt;=30, "18-30",Table1[[#This Row],[Age]]&lt;=40, "31-40", Table1[[#This Row],[Age]]&lt;=50, "41-50", TRUE, "51-65")</f>
        <v>41-50</v>
      </c>
      <c r="F177" s="4" t="s">
        <v>29</v>
      </c>
      <c r="G177" s="4" t="s">
        <v>30</v>
      </c>
      <c r="H177" s="4">
        <v>51000</v>
      </c>
      <c r="I177" s="5">
        <v>45983</v>
      </c>
      <c r="J177" s="4">
        <v>0.9</v>
      </c>
      <c r="K177" s="4" t="str" cm="1">
        <f t="array" ref="K177">_xlfn.IFS(Table1[[#This Row],[Years_of_Service]]&lt;=2, "0-2 Years", Table1[[#This Row],[Years_of_Service]]&lt;=5, "3-5 Years", Table1[[#This Row],[Years_of_Service]]&lt;=8, "6-8 Years", TRUE, "8 Years")</f>
        <v>0-2 Years</v>
      </c>
      <c r="L177" s="4" t="s">
        <v>37</v>
      </c>
      <c r="M177" s="4">
        <v>64.5</v>
      </c>
      <c r="N177" s="4">
        <v>98.8</v>
      </c>
      <c r="O177" s="4">
        <v>14</v>
      </c>
      <c r="P177" s="4">
        <v>11</v>
      </c>
      <c r="Q177" s="4" t="s">
        <v>32</v>
      </c>
      <c r="R177" s="5"/>
      <c r="S177" s="4" t="s">
        <v>75</v>
      </c>
    </row>
    <row r="178" spans="1:19" x14ac:dyDescent="0.3">
      <c r="A178" s="4">
        <v>177</v>
      </c>
      <c r="B178" s="4" t="s">
        <v>247</v>
      </c>
      <c r="C178" s="4" t="s">
        <v>46</v>
      </c>
      <c r="D178" s="4">
        <v>55</v>
      </c>
      <c r="E178" s="4" t="str" cm="1">
        <f t="array" ref="E178">_xlfn.IFS(Table1[[#This Row],[Age]]&lt;=30, "18-30",Table1[[#This Row],[Age]]&lt;=40, "31-40", Table1[[#This Row],[Age]]&lt;=50, "41-50", TRUE, "51-65")</f>
        <v>51-65</v>
      </c>
      <c r="F178" s="4" t="s">
        <v>29</v>
      </c>
      <c r="G178" s="4" t="s">
        <v>66</v>
      </c>
      <c r="H178" s="4">
        <v>53000</v>
      </c>
      <c r="I178" s="5">
        <v>46186</v>
      </c>
      <c r="J178" s="4">
        <v>0.3</v>
      </c>
      <c r="K178" s="4" t="str" cm="1">
        <f t="array" ref="K178">_xlfn.IFS(Table1[[#This Row],[Years_of_Service]]&lt;=2, "0-2 Years", Table1[[#This Row],[Years_of_Service]]&lt;=5, "3-5 Years", Table1[[#This Row],[Years_of_Service]]&lt;=8, "6-8 Years", TRUE, "8 Years")</f>
        <v>0-2 Years</v>
      </c>
      <c r="L178" s="4" t="s">
        <v>31</v>
      </c>
      <c r="M178" s="4">
        <v>84.3</v>
      </c>
      <c r="N178" s="4">
        <v>92.4</v>
      </c>
      <c r="O178" s="4">
        <v>14</v>
      </c>
      <c r="P178" s="4">
        <v>16</v>
      </c>
      <c r="Q178" s="4" t="s">
        <v>32</v>
      </c>
      <c r="R178" s="5"/>
      <c r="S178" s="4" t="s">
        <v>39</v>
      </c>
    </row>
    <row r="179" spans="1:19" x14ac:dyDescent="0.3">
      <c r="A179" s="4">
        <v>178</v>
      </c>
      <c r="B179" s="4" t="s">
        <v>248</v>
      </c>
      <c r="C179" s="4" t="s">
        <v>28</v>
      </c>
      <c r="D179" s="4">
        <v>56</v>
      </c>
      <c r="E179" s="4" t="str" cm="1">
        <f t="array" ref="E179">_xlfn.IFS(Table1[[#This Row],[Age]]&lt;=30, "18-30",Table1[[#This Row],[Age]]&lt;=40, "31-40", Table1[[#This Row],[Age]]&lt;=50, "41-50", TRUE, "51-65")</f>
        <v>51-65</v>
      </c>
      <c r="F179" s="4" t="s">
        <v>35</v>
      </c>
      <c r="G179" s="4" t="s">
        <v>69</v>
      </c>
      <c r="H179" s="4">
        <v>36000</v>
      </c>
      <c r="I179" s="5">
        <v>45536</v>
      </c>
      <c r="J179" s="4">
        <v>2.1</v>
      </c>
      <c r="K179" s="4" t="str" cm="1">
        <f t="array" ref="K179">_xlfn.IFS(Table1[[#This Row],[Years_of_Service]]&lt;=2, "0-2 Years", Table1[[#This Row],[Years_of_Service]]&lt;=5, "3-5 Years", Table1[[#This Row],[Years_of_Service]]&lt;=8, "6-8 Years", TRUE, "8 Years")</f>
        <v>3-5 Years</v>
      </c>
      <c r="L179" s="4" t="s">
        <v>98</v>
      </c>
      <c r="M179" s="4">
        <v>63.7</v>
      </c>
      <c r="N179" s="4">
        <v>91.4</v>
      </c>
      <c r="O179" s="4">
        <v>16</v>
      </c>
      <c r="P179" s="4">
        <v>14</v>
      </c>
      <c r="Q179" s="4" t="s">
        <v>32</v>
      </c>
      <c r="R179" s="5"/>
      <c r="S179" s="4" t="s">
        <v>33</v>
      </c>
    </row>
    <row r="180" spans="1:19" x14ac:dyDescent="0.3">
      <c r="A180" s="4">
        <v>179</v>
      </c>
      <c r="B180" s="4" t="s">
        <v>249</v>
      </c>
      <c r="C180" s="4" t="s">
        <v>46</v>
      </c>
      <c r="D180" s="4">
        <v>26</v>
      </c>
      <c r="E180" s="4" t="str" cm="1">
        <f t="array" ref="E180">_xlfn.IFS(Table1[[#This Row],[Age]]&lt;=30, "18-30",Table1[[#This Row],[Age]]&lt;=40, "31-40", Table1[[#This Row],[Age]]&lt;=50, "41-50", TRUE, "51-65")</f>
        <v>18-30</v>
      </c>
      <c r="F180" s="4" t="s">
        <v>29</v>
      </c>
      <c r="G180" s="4" t="s">
        <v>30</v>
      </c>
      <c r="H180" s="4">
        <v>42000</v>
      </c>
      <c r="I180" s="5">
        <v>45556</v>
      </c>
      <c r="J180" s="4">
        <v>2</v>
      </c>
      <c r="K180" s="4" t="str" cm="1">
        <f t="array" ref="K180">_xlfn.IFS(Table1[[#This Row],[Years_of_Service]]&lt;=2, "0-2 Years", Table1[[#This Row],[Years_of_Service]]&lt;=5, "3-5 Years", Table1[[#This Row],[Years_of_Service]]&lt;=8, "6-8 Years", TRUE, "8 Years")</f>
        <v>0-2 Years</v>
      </c>
      <c r="L180" s="4" t="s">
        <v>31</v>
      </c>
      <c r="M180" s="4">
        <v>60.7</v>
      </c>
      <c r="N180" s="4">
        <v>89.3</v>
      </c>
      <c r="O180" s="4">
        <v>14</v>
      </c>
      <c r="P180" s="4">
        <v>9</v>
      </c>
      <c r="Q180" s="4" t="s">
        <v>38</v>
      </c>
      <c r="R180" s="5">
        <v>46242</v>
      </c>
      <c r="S180" s="4" t="s">
        <v>33</v>
      </c>
    </row>
    <row r="181" spans="1:19" x14ac:dyDescent="0.3">
      <c r="A181" s="4">
        <v>180</v>
      </c>
      <c r="B181" s="4" t="s">
        <v>250</v>
      </c>
      <c r="C181" s="4" t="s">
        <v>28</v>
      </c>
      <c r="D181" s="4">
        <v>34</v>
      </c>
      <c r="E181" s="4" t="str" cm="1">
        <f t="array" ref="E181">_xlfn.IFS(Table1[[#This Row],[Age]]&lt;=30, "18-30",Table1[[#This Row],[Age]]&lt;=40, "31-40", Table1[[#This Row],[Age]]&lt;=50, "41-50", TRUE, "51-65")</f>
        <v>31-40</v>
      </c>
      <c r="F181" s="4" t="s">
        <v>58</v>
      </c>
      <c r="G181" s="4" t="s">
        <v>59</v>
      </c>
      <c r="H181" s="4">
        <v>53000</v>
      </c>
      <c r="I181" s="5">
        <v>45834</v>
      </c>
      <c r="J181" s="4">
        <v>1.3</v>
      </c>
      <c r="K181" s="4" t="str" cm="1">
        <f t="array" ref="K181">_xlfn.IFS(Table1[[#This Row],[Years_of_Service]]&lt;=2, "0-2 Years", Table1[[#This Row],[Years_of_Service]]&lt;=5, "3-5 Years", Table1[[#This Row],[Years_of_Service]]&lt;=8, "6-8 Years", TRUE, "8 Years")</f>
        <v>0-2 Years</v>
      </c>
      <c r="L181" s="4" t="s">
        <v>31</v>
      </c>
      <c r="M181" s="4">
        <v>58.1</v>
      </c>
      <c r="N181" s="4">
        <v>89.4</v>
      </c>
      <c r="O181" s="4">
        <v>1</v>
      </c>
      <c r="P181" s="4">
        <v>2</v>
      </c>
      <c r="Q181" s="4" t="s">
        <v>32</v>
      </c>
      <c r="R181" s="5"/>
      <c r="S181" s="4" t="s">
        <v>75</v>
      </c>
    </row>
    <row r="182" spans="1:19" x14ac:dyDescent="0.3">
      <c r="A182" s="4">
        <v>181</v>
      </c>
      <c r="B182" s="4" t="s">
        <v>251</v>
      </c>
      <c r="C182" s="4" t="s">
        <v>46</v>
      </c>
      <c r="D182" s="4">
        <v>32</v>
      </c>
      <c r="E182" s="4" t="str" cm="1">
        <f t="array" ref="E182">_xlfn.IFS(Table1[[#This Row],[Age]]&lt;=30, "18-30",Table1[[#This Row],[Age]]&lt;=40, "31-40", Table1[[#This Row],[Age]]&lt;=50, "41-50", TRUE, "51-65")</f>
        <v>31-40</v>
      </c>
      <c r="F182" s="4" t="s">
        <v>35</v>
      </c>
      <c r="G182" s="4" t="s">
        <v>101</v>
      </c>
      <c r="H182" s="4">
        <v>58000</v>
      </c>
      <c r="I182" s="5">
        <v>44020</v>
      </c>
      <c r="J182" s="4">
        <v>6.2</v>
      </c>
      <c r="K182" s="4" t="str" cm="1">
        <f t="array" ref="K182">_xlfn.IFS(Table1[[#This Row],[Years_of_Service]]&lt;=2, "0-2 Years", Table1[[#This Row],[Years_of_Service]]&lt;=5, "3-5 Years", Table1[[#This Row],[Years_of_Service]]&lt;=8, "6-8 Years", TRUE, "8 Years")</f>
        <v>6-8 Years</v>
      </c>
      <c r="L182" s="4" t="s">
        <v>53</v>
      </c>
      <c r="M182" s="4">
        <v>82.8</v>
      </c>
      <c r="N182" s="4">
        <v>89.4</v>
      </c>
      <c r="O182" s="4">
        <v>12</v>
      </c>
      <c r="P182" s="4">
        <v>12</v>
      </c>
      <c r="Q182" s="4" t="s">
        <v>32</v>
      </c>
      <c r="R182" s="5"/>
      <c r="S182" s="4" t="s">
        <v>33</v>
      </c>
    </row>
    <row r="183" spans="1:19" x14ac:dyDescent="0.3">
      <c r="A183" s="4">
        <v>182</v>
      </c>
      <c r="B183" s="4" t="s">
        <v>252</v>
      </c>
      <c r="C183" s="4" t="s">
        <v>28</v>
      </c>
      <c r="D183" s="4">
        <v>43</v>
      </c>
      <c r="E183" s="4" t="str" cm="1">
        <f t="array" ref="E183">_xlfn.IFS(Table1[[#This Row],[Age]]&lt;=30, "18-30",Table1[[#This Row],[Age]]&lt;=40, "31-40", Table1[[#This Row],[Age]]&lt;=50, "41-50", TRUE, "51-65")</f>
        <v>41-50</v>
      </c>
      <c r="F183" s="4" t="s">
        <v>29</v>
      </c>
      <c r="G183" s="4" t="s">
        <v>66</v>
      </c>
      <c r="H183" s="4">
        <v>18000</v>
      </c>
      <c r="I183" s="5">
        <v>43951</v>
      </c>
      <c r="J183" s="4">
        <v>6.4</v>
      </c>
      <c r="K183" s="4" t="str" cm="1">
        <f t="array" ref="K183">_xlfn.IFS(Table1[[#This Row],[Years_of_Service]]&lt;=2, "0-2 Years", Table1[[#This Row],[Years_of_Service]]&lt;=5, "3-5 Years", Table1[[#This Row],[Years_of_Service]]&lt;=8, "6-8 Years", TRUE, "8 Years")</f>
        <v>6-8 Years</v>
      </c>
      <c r="L183" s="4" t="s">
        <v>49</v>
      </c>
      <c r="M183" s="4">
        <v>62.7</v>
      </c>
      <c r="N183" s="4">
        <v>91.4</v>
      </c>
      <c r="O183" s="4">
        <v>7</v>
      </c>
      <c r="P183" s="4">
        <v>0</v>
      </c>
      <c r="Q183" s="4" t="s">
        <v>38</v>
      </c>
      <c r="R183" s="5">
        <v>46171</v>
      </c>
      <c r="S183" s="4" t="s">
        <v>33</v>
      </c>
    </row>
    <row r="184" spans="1:19" x14ac:dyDescent="0.3">
      <c r="A184" s="4">
        <v>183</v>
      </c>
      <c r="B184" s="4" t="s">
        <v>253</v>
      </c>
      <c r="C184" s="4" t="s">
        <v>46</v>
      </c>
      <c r="D184" s="4">
        <v>55</v>
      </c>
      <c r="E184" s="4" t="str" cm="1">
        <f t="array" ref="E184">_xlfn.IFS(Table1[[#This Row],[Age]]&lt;=30, "18-30",Table1[[#This Row],[Age]]&lt;=40, "31-40", Table1[[#This Row],[Age]]&lt;=50, "41-50", TRUE, "51-65")</f>
        <v>51-65</v>
      </c>
      <c r="F184" s="4" t="s">
        <v>47</v>
      </c>
      <c r="G184" s="4" t="s">
        <v>89</v>
      </c>
      <c r="H184" s="4">
        <v>48000</v>
      </c>
      <c r="I184" s="5">
        <v>45019</v>
      </c>
      <c r="J184" s="4">
        <v>3.5</v>
      </c>
      <c r="K184" s="4" t="str" cm="1">
        <f t="array" ref="K184">_xlfn.IFS(Table1[[#This Row],[Years_of_Service]]&lt;=2, "0-2 Years", Table1[[#This Row],[Years_of_Service]]&lt;=5, "3-5 Years", Table1[[#This Row],[Years_of_Service]]&lt;=8, "6-8 Years", TRUE, "8 Years")</f>
        <v>3-5 Years</v>
      </c>
      <c r="L184" s="4" t="s">
        <v>43</v>
      </c>
      <c r="M184" s="4">
        <v>69.900000000000006</v>
      </c>
      <c r="N184" s="4">
        <v>86.8</v>
      </c>
      <c r="O184" s="4">
        <v>21</v>
      </c>
      <c r="P184" s="4">
        <v>13</v>
      </c>
      <c r="Q184" s="4" t="s">
        <v>32</v>
      </c>
      <c r="R184" s="5"/>
      <c r="S184" s="4" t="s">
        <v>44</v>
      </c>
    </row>
    <row r="185" spans="1:19" x14ac:dyDescent="0.3">
      <c r="A185" s="4">
        <v>184</v>
      </c>
      <c r="B185" s="4" t="s">
        <v>254</v>
      </c>
      <c r="C185" s="4" t="s">
        <v>28</v>
      </c>
      <c r="D185" s="4">
        <v>34</v>
      </c>
      <c r="E185" s="4" t="str" cm="1">
        <f t="array" ref="E185">_xlfn.IFS(Table1[[#This Row],[Age]]&lt;=30, "18-30",Table1[[#This Row],[Age]]&lt;=40, "31-40", Table1[[#This Row],[Age]]&lt;=50, "41-50", TRUE, "51-65")</f>
        <v>31-40</v>
      </c>
      <c r="F185" s="4" t="s">
        <v>41</v>
      </c>
      <c r="G185" s="4" t="s">
        <v>42</v>
      </c>
      <c r="H185" s="4">
        <v>30000</v>
      </c>
      <c r="I185" s="5">
        <v>43741</v>
      </c>
      <c r="J185" s="4">
        <v>7</v>
      </c>
      <c r="K185" s="4" t="str" cm="1">
        <f t="array" ref="K185">_xlfn.IFS(Table1[[#This Row],[Years_of_Service]]&lt;=2, "0-2 Years", Table1[[#This Row],[Years_of_Service]]&lt;=5, "3-5 Years", Table1[[#This Row],[Years_of_Service]]&lt;=8, "6-8 Years", TRUE, "8 Years")</f>
        <v>6-8 Years</v>
      </c>
      <c r="L185" s="4" t="s">
        <v>49</v>
      </c>
      <c r="M185" s="4">
        <v>59.3</v>
      </c>
      <c r="N185" s="4">
        <v>82.6</v>
      </c>
      <c r="O185" s="4">
        <v>1</v>
      </c>
      <c r="P185" s="4">
        <v>7</v>
      </c>
      <c r="Q185" s="4" t="s">
        <v>38</v>
      </c>
      <c r="R185" s="5">
        <v>45613</v>
      </c>
      <c r="S185" s="4" t="s">
        <v>33</v>
      </c>
    </row>
    <row r="186" spans="1:19" x14ac:dyDescent="0.3">
      <c r="A186" s="4">
        <v>185</v>
      </c>
      <c r="B186" s="4" t="s">
        <v>255</v>
      </c>
      <c r="C186" s="4" t="s">
        <v>28</v>
      </c>
      <c r="D186" s="4">
        <v>55</v>
      </c>
      <c r="E186" s="4" t="str" cm="1">
        <f t="array" ref="E186">_xlfn.IFS(Table1[[#This Row],[Age]]&lt;=30, "18-30",Table1[[#This Row],[Age]]&lt;=40, "31-40", Table1[[#This Row],[Age]]&lt;=50, "41-50", TRUE, "51-65")</f>
        <v>51-65</v>
      </c>
      <c r="F186" s="4" t="s">
        <v>58</v>
      </c>
      <c r="G186" s="4" t="s">
        <v>59</v>
      </c>
      <c r="H186" s="4">
        <v>52000</v>
      </c>
      <c r="I186" s="5">
        <v>44355</v>
      </c>
      <c r="J186" s="4">
        <v>5.3</v>
      </c>
      <c r="K186" s="4" t="str" cm="1">
        <f t="array" ref="K186">_xlfn.IFS(Table1[[#This Row],[Years_of_Service]]&lt;=2, "0-2 Years", Table1[[#This Row],[Years_of_Service]]&lt;=5, "3-5 Years", Table1[[#This Row],[Years_of_Service]]&lt;=8, "6-8 Years", TRUE, "8 Years")</f>
        <v>6-8 Years</v>
      </c>
      <c r="L186" s="4" t="s">
        <v>49</v>
      </c>
      <c r="M186" s="4">
        <v>61</v>
      </c>
      <c r="N186" s="4">
        <v>99.4</v>
      </c>
      <c r="O186" s="4">
        <v>18</v>
      </c>
      <c r="P186" s="4">
        <v>10</v>
      </c>
      <c r="Q186" s="4" t="s">
        <v>32</v>
      </c>
      <c r="R186" s="5"/>
      <c r="S186" s="4" t="s">
        <v>44</v>
      </c>
    </row>
    <row r="187" spans="1:19" x14ac:dyDescent="0.3">
      <c r="A187" s="4">
        <v>186</v>
      </c>
      <c r="B187" s="4" t="s">
        <v>256</v>
      </c>
      <c r="C187" s="4" t="s">
        <v>46</v>
      </c>
      <c r="D187" s="4">
        <v>36</v>
      </c>
      <c r="E187" s="4" t="str" cm="1">
        <f t="array" ref="E187">_xlfn.IFS(Table1[[#This Row],[Age]]&lt;=30, "18-30",Table1[[#This Row],[Age]]&lt;=40, "31-40", Table1[[#This Row],[Age]]&lt;=50, "41-50", TRUE, "51-65")</f>
        <v>31-40</v>
      </c>
      <c r="F187" s="4" t="s">
        <v>85</v>
      </c>
      <c r="G187" s="4" t="s">
        <v>108</v>
      </c>
      <c r="H187" s="4">
        <v>26000</v>
      </c>
      <c r="I187" s="5">
        <v>44702</v>
      </c>
      <c r="J187" s="4">
        <v>4.4000000000000004</v>
      </c>
      <c r="K187" s="4" t="str" cm="1">
        <f t="array" ref="K187">_xlfn.IFS(Table1[[#This Row],[Years_of_Service]]&lt;=2, "0-2 Years", Table1[[#This Row],[Years_of_Service]]&lt;=5, "3-5 Years", Table1[[#This Row],[Years_of_Service]]&lt;=8, "6-8 Years", TRUE, "8 Years")</f>
        <v>3-5 Years</v>
      </c>
      <c r="L187" s="4" t="s">
        <v>53</v>
      </c>
      <c r="M187" s="4">
        <v>92.7</v>
      </c>
      <c r="N187" s="4">
        <v>99.2</v>
      </c>
      <c r="O187" s="4">
        <v>9</v>
      </c>
      <c r="P187" s="4">
        <v>8</v>
      </c>
      <c r="Q187" s="4" t="s">
        <v>38</v>
      </c>
      <c r="R187" s="5">
        <v>46075</v>
      </c>
      <c r="S187" s="4" t="s">
        <v>33</v>
      </c>
    </row>
    <row r="188" spans="1:19" x14ac:dyDescent="0.3">
      <c r="A188" s="4">
        <v>187</v>
      </c>
      <c r="B188" s="4" t="s">
        <v>257</v>
      </c>
      <c r="C188" s="4" t="s">
        <v>28</v>
      </c>
      <c r="D188" s="4">
        <v>48</v>
      </c>
      <c r="E188" s="4" t="str" cm="1">
        <f t="array" ref="E188">_xlfn.IFS(Table1[[#This Row],[Age]]&lt;=30, "18-30",Table1[[#This Row],[Age]]&lt;=40, "31-40", Table1[[#This Row],[Age]]&lt;=50, "41-50", TRUE, "51-65")</f>
        <v>41-50</v>
      </c>
      <c r="F188" s="4" t="s">
        <v>85</v>
      </c>
      <c r="G188" s="4" t="s">
        <v>108</v>
      </c>
      <c r="H188" s="4">
        <v>18000</v>
      </c>
      <c r="I188" s="5">
        <v>45742</v>
      </c>
      <c r="J188" s="4">
        <v>1.5</v>
      </c>
      <c r="K188" s="4" t="str" cm="1">
        <f t="array" ref="K188">_xlfn.IFS(Table1[[#This Row],[Years_of_Service]]&lt;=2, "0-2 Years", Table1[[#This Row],[Years_of_Service]]&lt;=5, "3-5 Years", Table1[[#This Row],[Years_of_Service]]&lt;=8, "6-8 Years", TRUE, "8 Years")</f>
        <v>0-2 Years</v>
      </c>
      <c r="L188" s="4" t="s">
        <v>49</v>
      </c>
      <c r="M188" s="4">
        <v>95.5</v>
      </c>
      <c r="N188" s="4">
        <v>93.7</v>
      </c>
      <c r="O188" s="4">
        <v>13</v>
      </c>
      <c r="P188" s="4">
        <v>13</v>
      </c>
      <c r="Q188" s="4" t="s">
        <v>38</v>
      </c>
      <c r="R188" s="5">
        <v>45975</v>
      </c>
      <c r="S188" s="4" t="s">
        <v>60</v>
      </c>
    </row>
    <row r="189" spans="1:19" x14ac:dyDescent="0.3">
      <c r="A189" s="4">
        <v>188</v>
      </c>
      <c r="B189" s="4" t="s">
        <v>258</v>
      </c>
      <c r="C189" s="4" t="s">
        <v>28</v>
      </c>
      <c r="D189" s="4">
        <v>55</v>
      </c>
      <c r="E189" s="4" t="str" cm="1">
        <f t="array" ref="E189">_xlfn.IFS(Table1[[#This Row],[Age]]&lt;=30, "18-30",Table1[[#This Row],[Age]]&lt;=40, "31-40", Table1[[#This Row],[Age]]&lt;=50, "41-50", TRUE, "51-65")</f>
        <v>51-65</v>
      </c>
      <c r="F189" s="4" t="s">
        <v>47</v>
      </c>
      <c r="G189" s="4" t="s">
        <v>89</v>
      </c>
      <c r="H189" s="4">
        <v>45000</v>
      </c>
      <c r="I189" s="5">
        <v>45405</v>
      </c>
      <c r="J189" s="4">
        <v>2.5</v>
      </c>
      <c r="K189" s="4" t="str" cm="1">
        <f t="array" ref="K189">_xlfn.IFS(Table1[[#This Row],[Years_of_Service]]&lt;=2, "0-2 Years", Table1[[#This Row],[Years_of_Service]]&lt;=5, "3-5 Years", Table1[[#This Row],[Years_of_Service]]&lt;=8, "6-8 Years", TRUE, "8 Years")</f>
        <v>3-5 Years</v>
      </c>
      <c r="L189" s="4" t="s">
        <v>53</v>
      </c>
      <c r="M189" s="4">
        <v>65.400000000000006</v>
      </c>
      <c r="N189" s="4">
        <v>85.9</v>
      </c>
      <c r="O189" s="4">
        <v>1</v>
      </c>
      <c r="P189" s="4">
        <v>17</v>
      </c>
      <c r="Q189" s="4" t="s">
        <v>32</v>
      </c>
      <c r="R189" s="5"/>
      <c r="S189" s="4" t="s">
        <v>75</v>
      </c>
    </row>
    <row r="190" spans="1:19" x14ac:dyDescent="0.3">
      <c r="A190" s="4">
        <v>189</v>
      </c>
      <c r="B190" s="4" t="s">
        <v>259</v>
      </c>
      <c r="C190" s="4" t="s">
        <v>28</v>
      </c>
      <c r="D190" s="4">
        <v>45</v>
      </c>
      <c r="E190" s="4" t="str" cm="1">
        <f t="array" ref="E190">_xlfn.IFS(Table1[[#This Row],[Age]]&lt;=30, "18-30",Table1[[#This Row],[Age]]&lt;=40, "31-40", Table1[[#This Row],[Age]]&lt;=50, "41-50", TRUE, "51-65")</f>
        <v>41-50</v>
      </c>
      <c r="F190" s="4" t="s">
        <v>58</v>
      </c>
      <c r="G190" s="4" t="s">
        <v>78</v>
      </c>
      <c r="H190" s="4">
        <v>51000</v>
      </c>
      <c r="I190" s="5">
        <v>44460</v>
      </c>
      <c r="J190" s="4">
        <v>5</v>
      </c>
      <c r="K190" s="4" t="str" cm="1">
        <f t="array" ref="K190">_xlfn.IFS(Table1[[#This Row],[Years_of_Service]]&lt;=2, "0-2 Years", Table1[[#This Row],[Years_of_Service]]&lt;=5, "3-5 Years", Table1[[#This Row],[Years_of_Service]]&lt;=8, "6-8 Years", TRUE, "8 Years")</f>
        <v>3-5 Years</v>
      </c>
      <c r="L190" s="4" t="s">
        <v>43</v>
      </c>
      <c r="M190" s="4">
        <v>58.4</v>
      </c>
      <c r="N190" s="4">
        <v>89.9</v>
      </c>
      <c r="O190" s="4">
        <v>17</v>
      </c>
      <c r="P190" s="4">
        <v>6</v>
      </c>
      <c r="Q190" s="4" t="s">
        <v>32</v>
      </c>
      <c r="R190" s="5"/>
      <c r="S190" s="4" t="s">
        <v>33</v>
      </c>
    </row>
    <row r="191" spans="1:19" x14ac:dyDescent="0.3">
      <c r="A191" s="4">
        <v>190</v>
      </c>
      <c r="B191" s="4" t="s">
        <v>260</v>
      </c>
      <c r="C191" s="4" t="s">
        <v>28</v>
      </c>
      <c r="D191" s="4">
        <v>25</v>
      </c>
      <c r="E191" s="4" t="str" cm="1">
        <f t="array" ref="E191">_xlfn.IFS(Table1[[#This Row],[Age]]&lt;=30, "18-30",Table1[[#This Row],[Age]]&lt;=40, "31-40", Table1[[#This Row],[Age]]&lt;=50, "41-50", TRUE, "51-65")</f>
        <v>18-30</v>
      </c>
      <c r="F191" s="4" t="s">
        <v>47</v>
      </c>
      <c r="G191" s="4" t="s">
        <v>89</v>
      </c>
      <c r="H191" s="4">
        <v>53000</v>
      </c>
      <c r="I191" s="5">
        <v>44236</v>
      </c>
      <c r="J191" s="4">
        <v>5.7</v>
      </c>
      <c r="K191" s="4" t="str" cm="1">
        <f t="array" ref="K191">_xlfn.IFS(Table1[[#This Row],[Years_of_Service]]&lt;=2, "0-2 Years", Table1[[#This Row],[Years_of_Service]]&lt;=5, "3-5 Years", Table1[[#This Row],[Years_of_Service]]&lt;=8, "6-8 Years", TRUE, "8 Years")</f>
        <v>6-8 Years</v>
      </c>
      <c r="L191" s="4" t="s">
        <v>53</v>
      </c>
      <c r="M191" s="4">
        <v>89.6</v>
      </c>
      <c r="N191" s="4">
        <v>92.3</v>
      </c>
      <c r="O191" s="4">
        <v>6</v>
      </c>
      <c r="P191" s="4">
        <v>10</v>
      </c>
      <c r="Q191" s="4" t="s">
        <v>38</v>
      </c>
      <c r="R191" s="5">
        <v>46079</v>
      </c>
      <c r="S191" s="4" t="s">
        <v>39</v>
      </c>
    </row>
    <row r="192" spans="1:19" x14ac:dyDescent="0.3">
      <c r="A192" s="4">
        <v>191</v>
      </c>
      <c r="B192" s="4" t="s">
        <v>261</v>
      </c>
      <c r="C192" s="4" t="s">
        <v>28</v>
      </c>
      <c r="D192" s="4">
        <v>28</v>
      </c>
      <c r="E192" s="4" t="str" cm="1">
        <f t="array" ref="E192">_xlfn.IFS(Table1[[#This Row],[Age]]&lt;=30, "18-30",Table1[[#This Row],[Age]]&lt;=40, "31-40", Table1[[#This Row],[Age]]&lt;=50, "41-50", TRUE, "51-65")</f>
        <v>18-30</v>
      </c>
      <c r="F192" s="4" t="s">
        <v>35</v>
      </c>
      <c r="G192" s="4" t="s">
        <v>36</v>
      </c>
      <c r="H192" s="4">
        <v>71000</v>
      </c>
      <c r="I192" s="5">
        <v>45427</v>
      </c>
      <c r="J192" s="4">
        <v>2.4</v>
      </c>
      <c r="K192" s="4" t="str" cm="1">
        <f t="array" ref="K192">_xlfn.IFS(Table1[[#This Row],[Years_of_Service]]&lt;=2, "0-2 Years", Table1[[#This Row],[Years_of_Service]]&lt;=5, "3-5 Years", Table1[[#This Row],[Years_of_Service]]&lt;=8, "6-8 Years", TRUE, "8 Years")</f>
        <v>3-5 Years</v>
      </c>
      <c r="L192" s="4" t="s">
        <v>31</v>
      </c>
      <c r="M192" s="4">
        <v>85.3</v>
      </c>
      <c r="N192" s="4">
        <v>88.9</v>
      </c>
      <c r="O192" s="4">
        <v>10</v>
      </c>
      <c r="P192" s="4">
        <v>9</v>
      </c>
      <c r="Q192" s="4" t="s">
        <v>32</v>
      </c>
      <c r="R192" s="5"/>
      <c r="S192" s="4" t="s">
        <v>75</v>
      </c>
    </row>
    <row r="193" spans="1:19" x14ac:dyDescent="0.3">
      <c r="A193" s="4">
        <v>192</v>
      </c>
      <c r="B193" s="4" t="s">
        <v>262</v>
      </c>
      <c r="C193" s="4" t="s">
        <v>46</v>
      </c>
      <c r="D193" s="4">
        <v>40</v>
      </c>
      <c r="E193" s="4" t="str" cm="1">
        <f t="array" ref="E193">_xlfn.IFS(Table1[[#This Row],[Age]]&lt;=30, "18-30",Table1[[#This Row],[Age]]&lt;=40, "31-40", Table1[[#This Row],[Age]]&lt;=50, "41-50", TRUE, "51-65")</f>
        <v>31-40</v>
      </c>
      <c r="F193" s="4" t="s">
        <v>58</v>
      </c>
      <c r="G193" s="4" t="s">
        <v>78</v>
      </c>
      <c r="H193" s="4">
        <v>42000</v>
      </c>
      <c r="I193" s="5">
        <v>44537</v>
      </c>
      <c r="J193" s="4">
        <v>4.8</v>
      </c>
      <c r="K193" s="4" t="str" cm="1">
        <f t="array" ref="K193">_xlfn.IFS(Table1[[#This Row],[Years_of_Service]]&lt;=2, "0-2 Years", Table1[[#This Row],[Years_of_Service]]&lt;=5, "3-5 Years", Table1[[#This Row],[Years_of_Service]]&lt;=8, "6-8 Years", TRUE, "8 Years")</f>
        <v>3-5 Years</v>
      </c>
      <c r="L193" s="4" t="s">
        <v>43</v>
      </c>
      <c r="M193" s="4">
        <v>70.5</v>
      </c>
      <c r="N193" s="4">
        <v>97.4</v>
      </c>
      <c r="O193" s="4">
        <v>23</v>
      </c>
      <c r="P193" s="4">
        <v>15</v>
      </c>
      <c r="Q193" s="4" t="s">
        <v>32</v>
      </c>
      <c r="R193" s="5"/>
      <c r="S193" s="4" t="s">
        <v>39</v>
      </c>
    </row>
    <row r="194" spans="1:19" x14ac:dyDescent="0.3">
      <c r="A194" s="4">
        <v>193</v>
      </c>
      <c r="B194" s="4" t="s">
        <v>263</v>
      </c>
      <c r="C194" s="4" t="s">
        <v>46</v>
      </c>
      <c r="D194" s="4">
        <v>47</v>
      </c>
      <c r="E194" s="4" t="str" cm="1">
        <f t="array" ref="E194">_xlfn.IFS(Table1[[#This Row],[Age]]&lt;=30, "18-30",Table1[[#This Row],[Age]]&lt;=40, "31-40", Table1[[#This Row],[Age]]&lt;=50, "41-50", TRUE, "51-65")</f>
        <v>41-50</v>
      </c>
      <c r="F194" s="4" t="s">
        <v>51</v>
      </c>
      <c r="G194" s="4" t="s">
        <v>55</v>
      </c>
      <c r="H194" s="4">
        <v>35000</v>
      </c>
      <c r="I194" s="5">
        <v>43653</v>
      </c>
      <c r="J194" s="4">
        <v>7.3</v>
      </c>
      <c r="K194" s="4" t="str" cm="1">
        <f t="array" ref="K194">_xlfn.IFS(Table1[[#This Row],[Years_of_Service]]&lt;=2, "0-2 Years", Table1[[#This Row],[Years_of_Service]]&lt;=5, "3-5 Years", Table1[[#This Row],[Years_of_Service]]&lt;=8, "6-8 Years", TRUE, "8 Years")</f>
        <v>6-8 Years</v>
      </c>
      <c r="L194" s="4" t="s">
        <v>49</v>
      </c>
      <c r="M194" s="4">
        <v>61.3</v>
      </c>
      <c r="N194" s="4">
        <v>86.6</v>
      </c>
      <c r="O194" s="4">
        <v>13</v>
      </c>
      <c r="P194" s="4">
        <v>9</v>
      </c>
      <c r="Q194" s="4" t="s">
        <v>38</v>
      </c>
      <c r="R194" s="5">
        <v>45708</v>
      </c>
      <c r="S194" s="4" t="s">
        <v>60</v>
      </c>
    </row>
    <row r="195" spans="1:19" x14ac:dyDescent="0.3">
      <c r="A195" s="4">
        <v>194</v>
      </c>
      <c r="B195" s="4" t="s">
        <v>264</v>
      </c>
      <c r="C195" s="4" t="s">
        <v>28</v>
      </c>
      <c r="D195" s="4">
        <v>45</v>
      </c>
      <c r="E195" s="4" t="str" cm="1">
        <f t="array" ref="E195">_xlfn.IFS(Table1[[#This Row],[Age]]&lt;=30, "18-30",Table1[[#This Row],[Age]]&lt;=40, "31-40", Table1[[#This Row],[Age]]&lt;=50, "41-50", TRUE, "51-65")</f>
        <v>41-50</v>
      </c>
      <c r="F195" s="4" t="s">
        <v>51</v>
      </c>
      <c r="G195" s="4" t="s">
        <v>55</v>
      </c>
      <c r="H195" s="4">
        <v>39000</v>
      </c>
      <c r="I195" s="5">
        <v>45799</v>
      </c>
      <c r="J195" s="4">
        <v>1.4</v>
      </c>
      <c r="K195" s="4" t="str" cm="1">
        <f t="array" ref="K195">_xlfn.IFS(Table1[[#This Row],[Years_of_Service]]&lt;=2, "0-2 Years", Table1[[#This Row],[Years_of_Service]]&lt;=5, "3-5 Years", Table1[[#This Row],[Years_of_Service]]&lt;=8, "6-8 Years", TRUE, "8 Years")</f>
        <v>0-2 Years</v>
      </c>
      <c r="L195" s="4" t="s">
        <v>98</v>
      </c>
      <c r="M195" s="4">
        <v>90.8</v>
      </c>
      <c r="N195" s="4">
        <v>90.7</v>
      </c>
      <c r="O195" s="4">
        <v>24</v>
      </c>
      <c r="P195" s="4">
        <v>15</v>
      </c>
      <c r="Q195" s="4" t="s">
        <v>32</v>
      </c>
      <c r="R195" s="5"/>
      <c r="S195" s="4" t="s">
        <v>75</v>
      </c>
    </row>
    <row r="196" spans="1:19" x14ac:dyDescent="0.3">
      <c r="A196" s="4">
        <v>195</v>
      </c>
      <c r="B196" s="4" t="s">
        <v>265</v>
      </c>
      <c r="C196" s="4" t="s">
        <v>46</v>
      </c>
      <c r="D196" s="4">
        <v>31</v>
      </c>
      <c r="E196" s="4" t="str" cm="1">
        <f t="array" ref="E196">_xlfn.IFS(Table1[[#This Row],[Age]]&lt;=30, "18-30",Table1[[#This Row],[Age]]&lt;=40, "31-40", Table1[[#This Row],[Age]]&lt;=50, "41-50", TRUE, "51-65")</f>
        <v>31-40</v>
      </c>
      <c r="F196" s="4" t="s">
        <v>58</v>
      </c>
      <c r="G196" s="4" t="s">
        <v>136</v>
      </c>
      <c r="H196" s="4">
        <v>49000</v>
      </c>
      <c r="I196" s="5">
        <v>44039</v>
      </c>
      <c r="J196" s="4">
        <v>6.2</v>
      </c>
      <c r="K196" s="4" t="str" cm="1">
        <f t="array" ref="K196">_xlfn.IFS(Table1[[#This Row],[Years_of_Service]]&lt;=2, "0-2 Years", Table1[[#This Row],[Years_of_Service]]&lt;=5, "3-5 Years", Table1[[#This Row],[Years_of_Service]]&lt;=8, "6-8 Years", TRUE, "8 Years")</f>
        <v>6-8 Years</v>
      </c>
      <c r="L196" s="4" t="s">
        <v>31</v>
      </c>
      <c r="M196" s="4">
        <v>94.4</v>
      </c>
      <c r="N196" s="4">
        <v>91.5</v>
      </c>
      <c r="O196" s="4">
        <v>1</v>
      </c>
      <c r="P196" s="4">
        <v>2</v>
      </c>
      <c r="Q196" s="4" t="s">
        <v>32</v>
      </c>
      <c r="R196" s="5"/>
      <c r="S196" s="4" t="s">
        <v>33</v>
      </c>
    </row>
    <row r="197" spans="1:19" x14ac:dyDescent="0.3">
      <c r="A197" s="4">
        <v>196</v>
      </c>
      <c r="B197" s="4" t="s">
        <v>266</v>
      </c>
      <c r="C197" s="4" t="s">
        <v>46</v>
      </c>
      <c r="D197" s="4">
        <v>29</v>
      </c>
      <c r="E197" s="4" t="str" cm="1">
        <f t="array" ref="E197">_xlfn.IFS(Table1[[#This Row],[Age]]&lt;=30, "18-30",Table1[[#This Row],[Age]]&lt;=40, "31-40", Table1[[#This Row],[Age]]&lt;=50, "41-50", TRUE, "51-65")</f>
        <v>18-30</v>
      </c>
      <c r="F197" s="4" t="s">
        <v>41</v>
      </c>
      <c r="G197" s="4" t="s">
        <v>42</v>
      </c>
      <c r="H197" s="4">
        <v>26000</v>
      </c>
      <c r="I197" s="5">
        <v>46049</v>
      </c>
      <c r="J197" s="4">
        <v>0.7</v>
      </c>
      <c r="K197" s="4" t="str" cm="1">
        <f t="array" ref="K197">_xlfn.IFS(Table1[[#This Row],[Years_of_Service]]&lt;=2, "0-2 Years", Table1[[#This Row],[Years_of_Service]]&lt;=5, "3-5 Years", Table1[[#This Row],[Years_of_Service]]&lt;=8, "6-8 Years", TRUE, "8 Years")</f>
        <v>0-2 Years</v>
      </c>
      <c r="L197" s="4" t="s">
        <v>37</v>
      </c>
      <c r="M197" s="4">
        <v>65</v>
      </c>
      <c r="N197" s="4">
        <v>94.4</v>
      </c>
      <c r="O197" s="4">
        <v>16</v>
      </c>
      <c r="P197" s="4">
        <v>14</v>
      </c>
      <c r="Q197" s="4" t="s">
        <v>32</v>
      </c>
      <c r="R197" s="5"/>
      <c r="S197" s="4" t="s">
        <v>39</v>
      </c>
    </row>
    <row r="198" spans="1:19" x14ac:dyDescent="0.3">
      <c r="A198" s="4">
        <v>197</v>
      </c>
      <c r="B198" s="4" t="s">
        <v>267</v>
      </c>
      <c r="C198" s="4" t="s">
        <v>46</v>
      </c>
      <c r="D198" s="4">
        <v>22</v>
      </c>
      <c r="E198" s="4" t="str" cm="1">
        <f t="array" ref="E198">_xlfn.IFS(Table1[[#This Row],[Age]]&lt;=30, "18-30",Table1[[#This Row],[Age]]&lt;=40, "31-40", Table1[[#This Row],[Age]]&lt;=50, "41-50", TRUE, "51-65")</f>
        <v>18-30</v>
      </c>
      <c r="F198" s="4" t="s">
        <v>35</v>
      </c>
      <c r="G198" s="4" t="s">
        <v>81</v>
      </c>
      <c r="H198" s="4">
        <v>42000</v>
      </c>
      <c r="I198" s="5">
        <v>43493</v>
      </c>
      <c r="J198" s="4">
        <v>7.7</v>
      </c>
      <c r="K198" s="4" t="str" cm="1">
        <f t="array" ref="K198">_xlfn.IFS(Table1[[#This Row],[Years_of_Service]]&lt;=2, "0-2 Years", Table1[[#This Row],[Years_of_Service]]&lt;=5, "3-5 Years", Table1[[#This Row],[Years_of_Service]]&lt;=8, "6-8 Years", TRUE, "8 Years")</f>
        <v>6-8 Years</v>
      </c>
      <c r="L198" s="4" t="s">
        <v>43</v>
      </c>
      <c r="M198" s="4">
        <v>55.7</v>
      </c>
      <c r="N198" s="4">
        <v>94.6</v>
      </c>
      <c r="O198" s="4">
        <v>16</v>
      </c>
      <c r="P198" s="4">
        <v>13</v>
      </c>
      <c r="Q198" s="4" t="s">
        <v>38</v>
      </c>
      <c r="R198" s="5">
        <v>46008</v>
      </c>
      <c r="S198" s="4" t="s">
        <v>60</v>
      </c>
    </row>
    <row r="199" spans="1:19" x14ac:dyDescent="0.3">
      <c r="A199" s="4">
        <v>198</v>
      </c>
      <c r="B199" s="4" t="s">
        <v>268</v>
      </c>
      <c r="C199" s="4" t="s">
        <v>28</v>
      </c>
      <c r="D199" s="4">
        <v>36</v>
      </c>
      <c r="E199" s="4" t="str" cm="1">
        <f t="array" ref="E199">_xlfn.IFS(Table1[[#This Row],[Age]]&lt;=30, "18-30",Table1[[#This Row],[Age]]&lt;=40, "31-40", Table1[[#This Row],[Age]]&lt;=50, "41-50", TRUE, "51-65")</f>
        <v>31-40</v>
      </c>
      <c r="F199" s="4" t="s">
        <v>35</v>
      </c>
      <c r="G199" s="4" t="s">
        <v>69</v>
      </c>
      <c r="H199" s="4">
        <v>52000</v>
      </c>
      <c r="I199" s="5">
        <v>44252</v>
      </c>
      <c r="J199" s="4">
        <v>5.6</v>
      </c>
      <c r="K199" s="4" t="str" cm="1">
        <f t="array" ref="K199">_xlfn.IFS(Table1[[#This Row],[Years_of_Service]]&lt;=2, "0-2 Years", Table1[[#This Row],[Years_of_Service]]&lt;=5, "3-5 Years", Table1[[#This Row],[Years_of_Service]]&lt;=8, "6-8 Years", TRUE, "8 Years")</f>
        <v>6-8 Years</v>
      </c>
      <c r="L199" s="4" t="s">
        <v>98</v>
      </c>
      <c r="M199" s="4">
        <v>81.7</v>
      </c>
      <c r="N199" s="4">
        <v>86.4</v>
      </c>
      <c r="O199" s="4">
        <v>12</v>
      </c>
      <c r="P199" s="4">
        <v>2</v>
      </c>
      <c r="Q199" s="4" t="s">
        <v>32</v>
      </c>
      <c r="R199" s="5"/>
      <c r="S199" s="4" t="s">
        <v>39</v>
      </c>
    </row>
    <row r="200" spans="1:19" x14ac:dyDescent="0.3">
      <c r="A200" s="4">
        <v>199</v>
      </c>
      <c r="B200" s="4" t="s">
        <v>269</v>
      </c>
      <c r="C200" s="4" t="s">
        <v>28</v>
      </c>
      <c r="D200" s="4">
        <v>35</v>
      </c>
      <c r="E200" s="4" t="str" cm="1">
        <f t="array" ref="E200">_xlfn.IFS(Table1[[#This Row],[Age]]&lt;=30, "18-30",Table1[[#This Row],[Age]]&lt;=40, "31-40", Table1[[#This Row],[Age]]&lt;=50, "41-50", TRUE, "51-65")</f>
        <v>31-40</v>
      </c>
      <c r="F200" s="4" t="s">
        <v>58</v>
      </c>
      <c r="G200" s="4" t="s">
        <v>59</v>
      </c>
      <c r="H200" s="4">
        <v>43000</v>
      </c>
      <c r="I200" s="5">
        <v>44694</v>
      </c>
      <c r="J200" s="4">
        <v>4.4000000000000004</v>
      </c>
      <c r="K200" s="4" t="str" cm="1">
        <f t="array" ref="K200">_xlfn.IFS(Table1[[#This Row],[Years_of_Service]]&lt;=2, "0-2 Years", Table1[[#This Row],[Years_of_Service]]&lt;=5, "3-5 Years", Table1[[#This Row],[Years_of_Service]]&lt;=8, "6-8 Years", TRUE, "8 Years")</f>
        <v>3-5 Years</v>
      </c>
      <c r="L200" s="4" t="s">
        <v>43</v>
      </c>
      <c r="M200" s="4">
        <v>83.1</v>
      </c>
      <c r="N200" s="4">
        <v>97</v>
      </c>
      <c r="O200" s="4">
        <v>12</v>
      </c>
      <c r="P200" s="4">
        <v>12</v>
      </c>
      <c r="Q200" s="4" t="s">
        <v>32</v>
      </c>
      <c r="R200" s="5"/>
      <c r="S200" s="4" t="s">
        <v>75</v>
      </c>
    </row>
    <row r="201" spans="1:19" x14ac:dyDescent="0.3">
      <c r="A201" s="4">
        <v>200</v>
      </c>
      <c r="B201" s="4" t="s">
        <v>270</v>
      </c>
      <c r="C201" s="4" t="s">
        <v>28</v>
      </c>
      <c r="D201" s="4">
        <v>21</v>
      </c>
      <c r="E201" s="4" t="str" cm="1">
        <f t="array" ref="E201">_xlfn.IFS(Table1[[#This Row],[Age]]&lt;=30, "18-30",Table1[[#This Row],[Age]]&lt;=40, "31-40", Table1[[#This Row],[Age]]&lt;=50, "41-50", TRUE, "51-65")</f>
        <v>18-30</v>
      </c>
      <c r="F201" s="4" t="s">
        <v>85</v>
      </c>
      <c r="G201" s="4" t="s">
        <v>86</v>
      </c>
      <c r="H201" s="4">
        <v>26000</v>
      </c>
      <c r="I201" s="5">
        <v>44167</v>
      </c>
      <c r="J201" s="4">
        <v>5.8</v>
      </c>
      <c r="K201" s="4" t="str" cm="1">
        <f t="array" ref="K201">_xlfn.IFS(Table1[[#This Row],[Years_of_Service]]&lt;=2, "0-2 Years", Table1[[#This Row],[Years_of_Service]]&lt;=5, "3-5 Years", Table1[[#This Row],[Years_of_Service]]&lt;=8, "6-8 Years", TRUE, "8 Years")</f>
        <v>6-8 Years</v>
      </c>
      <c r="L201" s="4" t="s">
        <v>31</v>
      </c>
      <c r="M201" s="4">
        <v>58.6</v>
      </c>
      <c r="N201" s="4">
        <v>96.8</v>
      </c>
      <c r="O201" s="4">
        <v>3</v>
      </c>
      <c r="P201" s="4">
        <v>16</v>
      </c>
      <c r="Q201" s="4" t="s">
        <v>32</v>
      </c>
      <c r="R201" s="5"/>
      <c r="S201" s="4" t="s">
        <v>33</v>
      </c>
    </row>
    <row r="202" spans="1:19" x14ac:dyDescent="0.3">
      <c r="A202" s="4">
        <v>201</v>
      </c>
      <c r="B202" s="4" t="s">
        <v>271</v>
      </c>
      <c r="C202" s="4" t="s">
        <v>46</v>
      </c>
      <c r="D202" s="4">
        <v>38</v>
      </c>
      <c r="E202" s="4" t="str" cm="1">
        <f t="array" ref="E202">_xlfn.IFS(Table1[[#This Row],[Age]]&lt;=30, "18-30",Table1[[#This Row],[Age]]&lt;=40, "31-40", Table1[[#This Row],[Age]]&lt;=50, "41-50", TRUE, "51-65")</f>
        <v>31-40</v>
      </c>
      <c r="F202" s="4" t="s">
        <v>51</v>
      </c>
      <c r="G202" s="4" t="s">
        <v>73</v>
      </c>
      <c r="H202" s="4">
        <v>54000</v>
      </c>
      <c r="I202" s="5">
        <v>43656</v>
      </c>
      <c r="J202" s="4">
        <v>7.2</v>
      </c>
      <c r="K202" s="4" t="str" cm="1">
        <f t="array" ref="K202">_xlfn.IFS(Table1[[#This Row],[Years_of_Service]]&lt;=2, "0-2 Years", Table1[[#This Row],[Years_of_Service]]&lt;=5, "3-5 Years", Table1[[#This Row],[Years_of_Service]]&lt;=8, "6-8 Years", TRUE, "8 Years")</f>
        <v>6-8 Years</v>
      </c>
      <c r="L202" s="4" t="s">
        <v>37</v>
      </c>
      <c r="M202" s="4">
        <v>67.099999999999994</v>
      </c>
      <c r="N202" s="4">
        <v>91.5</v>
      </c>
      <c r="O202" s="4">
        <v>10</v>
      </c>
      <c r="P202" s="4">
        <v>0</v>
      </c>
      <c r="Q202" s="4" t="s">
        <v>32</v>
      </c>
      <c r="R202" s="5"/>
      <c r="S202" s="4" t="s">
        <v>60</v>
      </c>
    </row>
    <row r="203" spans="1:19" x14ac:dyDescent="0.3">
      <c r="A203" s="4">
        <v>202</v>
      </c>
      <c r="B203" s="4" t="s">
        <v>272</v>
      </c>
      <c r="C203" s="4" t="s">
        <v>46</v>
      </c>
      <c r="D203" s="4">
        <v>25</v>
      </c>
      <c r="E203" s="4" t="str" cm="1">
        <f t="array" ref="E203">_xlfn.IFS(Table1[[#This Row],[Age]]&lt;=30, "18-30",Table1[[#This Row],[Age]]&lt;=40, "31-40", Table1[[#This Row],[Age]]&lt;=50, "41-50", TRUE, "51-65")</f>
        <v>18-30</v>
      </c>
      <c r="F203" s="4" t="s">
        <v>85</v>
      </c>
      <c r="G203" s="4" t="s">
        <v>103</v>
      </c>
      <c r="H203" s="4">
        <v>36000</v>
      </c>
      <c r="I203" s="5">
        <v>44691</v>
      </c>
      <c r="J203" s="4">
        <v>4.4000000000000004</v>
      </c>
      <c r="K203" s="4" t="str" cm="1">
        <f t="array" ref="K203">_xlfn.IFS(Table1[[#This Row],[Years_of_Service]]&lt;=2, "0-2 Years", Table1[[#This Row],[Years_of_Service]]&lt;=5, "3-5 Years", Table1[[#This Row],[Years_of_Service]]&lt;=8, "6-8 Years", TRUE, "8 Years")</f>
        <v>3-5 Years</v>
      </c>
      <c r="L203" s="4" t="s">
        <v>49</v>
      </c>
      <c r="M203" s="4">
        <v>62</v>
      </c>
      <c r="N203" s="4">
        <v>86.2</v>
      </c>
      <c r="O203" s="4">
        <v>17</v>
      </c>
      <c r="P203" s="4">
        <v>10</v>
      </c>
      <c r="Q203" s="4" t="s">
        <v>32</v>
      </c>
      <c r="R203" s="5"/>
      <c r="S203" s="4" t="s">
        <v>75</v>
      </c>
    </row>
    <row r="204" spans="1:19" x14ac:dyDescent="0.3">
      <c r="A204" s="4">
        <v>203</v>
      </c>
      <c r="B204" s="4" t="s">
        <v>273</v>
      </c>
      <c r="C204" s="4" t="s">
        <v>28</v>
      </c>
      <c r="D204" s="4">
        <v>26</v>
      </c>
      <c r="E204" s="4" t="str" cm="1">
        <f t="array" ref="E204">_xlfn.IFS(Table1[[#This Row],[Age]]&lt;=30, "18-30",Table1[[#This Row],[Age]]&lt;=40, "31-40", Table1[[#This Row],[Age]]&lt;=50, "41-50", TRUE, "51-65")</f>
        <v>18-30</v>
      </c>
      <c r="F204" s="4" t="s">
        <v>41</v>
      </c>
      <c r="G204" s="4" t="s">
        <v>71</v>
      </c>
      <c r="H204" s="4">
        <v>35000</v>
      </c>
      <c r="I204" s="5">
        <v>45517</v>
      </c>
      <c r="J204" s="4">
        <v>2.1</v>
      </c>
      <c r="K204" s="4" t="str" cm="1">
        <f t="array" ref="K204">_xlfn.IFS(Table1[[#This Row],[Years_of_Service]]&lt;=2, "0-2 Years", Table1[[#This Row],[Years_of_Service]]&lt;=5, "3-5 Years", Table1[[#This Row],[Years_of_Service]]&lt;=8, "6-8 Years", TRUE, "8 Years")</f>
        <v>3-5 Years</v>
      </c>
      <c r="L204" s="4" t="s">
        <v>98</v>
      </c>
      <c r="M204" s="4">
        <v>59.2</v>
      </c>
      <c r="N204" s="4">
        <v>86.1</v>
      </c>
      <c r="O204" s="4">
        <v>19</v>
      </c>
      <c r="P204" s="4">
        <v>12</v>
      </c>
      <c r="Q204" s="4" t="s">
        <v>32</v>
      </c>
      <c r="R204" s="5"/>
      <c r="S204" s="4" t="s">
        <v>39</v>
      </c>
    </row>
    <row r="205" spans="1:19" x14ac:dyDescent="0.3">
      <c r="A205" s="4">
        <v>204</v>
      </c>
      <c r="B205" s="4" t="s">
        <v>274</v>
      </c>
      <c r="C205" s="4" t="s">
        <v>46</v>
      </c>
      <c r="D205" s="4">
        <v>52</v>
      </c>
      <c r="E205" s="4" t="str" cm="1">
        <f t="array" ref="E205">_xlfn.IFS(Table1[[#This Row],[Age]]&lt;=30, "18-30",Table1[[#This Row],[Age]]&lt;=40, "31-40", Table1[[#This Row],[Age]]&lt;=50, "41-50", TRUE, "51-65")</f>
        <v>51-65</v>
      </c>
      <c r="F205" s="4" t="s">
        <v>35</v>
      </c>
      <c r="G205" s="4" t="s">
        <v>101</v>
      </c>
      <c r="H205" s="4">
        <v>43000</v>
      </c>
      <c r="I205" s="5">
        <v>44400</v>
      </c>
      <c r="J205" s="4">
        <v>5.2</v>
      </c>
      <c r="K205" s="4" t="str" cm="1">
        <f t="array" ref="K205">_xlfn.IFS(Table1[[#This Row],[Years_of_Service]]&lt;=2, "0-2 Years", Table1[[#This Row],[Years_of_Service]]&lt;=5, "3-5 Years", Table1[[#This Row],[Years_of_Service]]&lt;=8, "6-8 Years", TRUE, "8 Years")</f>
        <v>6-8 Years</v>
      </c>
      <c r="L205" s="4" t="s">
        <v>37</v>
      </c>
      <c r="M205" s="4">
        <v>70.3</v>
      </c>
      <c r="N205" s="4">
        <v>98.5</v>
      </c>
      <c r="O205" s="4">
        <v>21</v>
      </c>
      <c r="P205" s="4">
        <v>18</v>
      </c>
      <c r="Q205" s="4" t="s">
        <v>32</v>
      </c>
      <c r="R205" s="5"/>
      <c r="S205" s="4" t="s">
        <v>75</v>
      </c>
    </row>
    <row r="206" spans="1:19" x14ac:dyDescent="0.3">
      <c r="A206" s="4">
        <v>205</v>
      </c>
      <c r="B206" s="4" t="s">
        <v>275</v>
      </c>
      <c r="C206" s="4" t="s">
        <v>28</v>
      </c>
      <c r="D206" s="4">
        <v>25</v>
      </c>
      <c r="E206" s="4" t="str" cm="1">
        <f t="array" ref="E206">_xlfn.IFS(Table1[[#This Row],[Age]]&lt;=30, "18-30",Table1[[#This Row],[Age]]&lt;=40, "31-40", Table1[[#This Row],[Age]]&lt;=50, "41-50", TRUE, "51-65")</f>
        <v>18-30</v>
      </c>
      <c r="F206" s="4" t="s">
        <v>35</v>
      </c>
      <c r="G206" s="4" t="s">
        <v>101</v>
      </c>
      <c r="H206" s="4">
        <v>53000</v>
      </c>
      <c r="I206" s="5">
        <v>43802</v>
      </c>
      <c r="J206" s="4">
        <v>6.8</v>
      </c>
      <c r="K206" s="4" t="str" cm="1">
        <f t="array" ref="K206">_xlfn.IFS(Table1[[#This Row],[Years_of_Service]]&lt;=2, "0-2 Years", Table1[[#This Row],[Years_of_Service]]&lt;=5, "3-5 Years", Table1[[#This Row],[Years_of_Service]]&lt;=8, "6-8 Years", TRUE, "8 Years")</f>
        <v>6-8 Years</v>
      </c>
      <c r="L206" s="4" t="s">
        <v>98</v>
      </c>
      <c r="M206" s="4">
        <v>88.7</v>
      </c>
      <c r="N206" s="4">
        <v>84.7</v>
      </c>
      <c r="O206" s="4">
        <v>11</v>
      </c>
      <c r="P206" s="4">
        <v>3</v>
      </c>
      <c r="Q206" s="4" t="s">
        <v>32</v>
      </c>
      <c r="R206" s="5"/>
      <c r="S206" s="4" t="s">
        <v>33</v>
      </c>
    </row>
    <row r="207" spans="1:19" x14ac:dyDescent="0.3">
      <c r="A207" s="4">
        <v>206</v>
      </c>
      <c r="B207" s="4" t="s">
        <v>276</v>
      </c>
      <c r="C207" s="4" t="s">
        <v>46</v>
      </c>
      <c r="D207" s="4">
        <v>44</v>
      </c>
      <c r="E207" s="4" t="str" cm="1">
        <f t="array" ref="E207">_xlfn.IFS(Table1[[#This Row],[Age]]&lt;=30, "18-30",Table1[[#This Row],[Age]]&lt;=40, "31-40", Table1[[#This Row],[Age]]&lt;=50, "41-50", TRUE, "51-65")</f>
        <v>41-50</v>
      </c>
      <c r="F207" s="4" t="s">
        <v>35</v>
      </c>
      <c r="G207" s="4" t="s">
        <v>101</v>
      </c>
      <c r="H207" s="4">
        <v>66000</v>
      </c>
      <c r="I207" s="5">
        <v>44570</v>
      </c>
      <c r="J207" s="4">
        <v>4.7</v>
      </c>
      <c r="K207" s="4" t="str" cm="1">
        <f t="array" ref="K207">_xlfn.IFS(Table1[[#This Row],[Years_of_Service]]&lt;=2, "0-2 Years", Table1[[#This Row],[Years_of_Service]]&lt;=5, "3-5 Years", Table1[[#This Row],[Years_of_Service]]&lt;=8, "6-8 Years", TRUE, "8 Years")</f>
        <v>3-5 Years</v>
      </c>
      <c r="L207" s="4" t="s">
        <v>53</v>
      </c>
      <c r="M207" s="4">
        <v>59.4</v>
      </c>
      <c r="N207" s="4">
        <v>83.5</v>
      </c>
      <c r="O207" s="4">
        <v>17</v>
      </c>
      <c r="P207" s="4">
        <v>17</v>
      </c>
      <c r="Q207" s="4" t="s">
        <v>32</v>
      </c>
      <c r="R207" s="5"/>
      <c r="S207" s="4" t="s">
        <v>44</v>
      </c>
    </row>
    <row r="208" spans="1:19" x14ac:dyDescent="0.3">
      <c r="A208" s="4">
        <v>207</v>
      </c>
      <c r="B208" s="4" t="s">
        <v>277</v>
      </c>
      <c r="C208" s="4" t="s">
        <v>28</v>
      </c>
      <c r="D208" s="4">
        <v>26</v>
      </c>
      <c r="E208" s="4" t="str" cm="1">
        <f t="array" ref="E208">_xlfn.IFS(Table1[[#This Row],[Age]]&lt;=30, "18-30",Table1[[#This Row],[Age]]&lt;=40, "31-40", Table1[[#This Row],[Age]]&lt;=50, "41-50", TRUE, "51-65")</f>
        <v>18-30</v>
      </c>
      <c r="F208" s="4" t="s">
        <v>58</v>
      </c>
      <c r="G208" s="4" t="s">
        <v>136</v>
      </c>
      <c r="H208" s="4">
        <v>37000</v>
      </c>
      <c r="I208" s="5">
        <v>44915</v>
      </c>
      <c r="J208" s="4">
        <v>3.8</v>
      </c>
      <c r="K208" s="4" t="str" cm="1">
        <f t="array" ref="K208">_xlfn.IFS(Table1[[#This Row],[Years_of_Service]]&lt;=2, "0-2 Years", Table1[[#This Row],[Years_of_Service]]&lt;=5, "3-5 Years", Table1[[#This Row],[Years_of_Service]]&lt;=8, "6-8 Years", TRUE, "8 Years")</f>
        <v>3-5 Years</v>
      </c>
      <c r="L208" s="4" t="s">
        <v>98</v>
      </c>
      <c r="M208" s="4">
        <v>88.7</v>
      </c>
      <c r="N208" s="4">
        <v>97.1</v>
      </c>
      <c r="O208" s="4">
        <v>13</v>
      </c>
      <c r="P208" s="4">
        <v>12</v>
      </c>
      <c r="Q208" s="4" t="s">
        <v>32</v>
      </c>
      <c r="R208" s="5"/>
      <c r="S208" s="4" t="s">
        <v>33</v>
      </c>
    </row>
    <row r="209" spans="1:19" x14ac:dyDescent="0.3">
      <c r="A209" s="4">
        <v>208</v>
      </c>
      <c r="B209" s="4" t="s">
        <v>278</v>
      </c>
      <c r="C209" s="4" t="s">
        <v>28</v>
      </c>
      <c r="D209" s="4">
        <v>57</v>
      </c>
      <c r="E209" s="4" t="str" cm="1">
        <f t="array" ref="E209">_xlfn.IFS(Table1[[#This Row],[Age]]&lt;=30, "18-30",Table1[[#This Row],[Age]]&lt;=40, "31-40", Table1[[#This Row],[Age]]&lt;=50, "41-50", TRUE, "51-65")</f>
        <v>51-65</v>
      </c>
      <c r="F209" s="4" t="s">
        <v>29</v>
      </c>
      <c r="G209" s="4" t="s">
        <v>66</v>
      </c>
      <c r="H209" s="4">
        <v>41000</v>
      </c>
      <c r="I209" s="5">
        <v>45600</v>
      </c>
      <c r="J209" s="4">
        <v>1.9</v>
      </c>
      <c r="K209" s="4" t="str" cm="1">
        <f t="array" ref="K209">_xlfn.IFS(Table1[[#This Row],[Years_of_Service]]&lt;=2, "0-2 Years", Table1[[#This Row],[Years_of_Service]]&lt;=5, "3-5 Years", Table1[[#This Row],[Years_of_Service]]&lt;=8, "6-8 Years", TRUE, "8 Years")</f>
        <v>0-2 Years</v>
      </c>
      <c r="L209" s="4" t="s">
        <v>98</v>
      </c>
      <c r="M209" s="4">
        <v>62.3</v>
      </c>
      <c r="N209" s="4">
        <v>88.7</v>
      </c>
      <c r="O209" s="4">
        <v>9</v>
      </c>
      <c r="P209" s="4">
        <v>8</v>
      </c>
      <c r="Q209" s="4" t="s">
        <v>32</v>
      </c>
      <c r="R209" s="5"/>
      <c r="S209" s="4" t="s">
        <v>75</v>
      </c>
    </row>
    <row r="210" spans="1:19" x14ac:dyDescent="0.3">
      <c r="A210" s="4">
        <v>209</v>
      </c>
      <c r="B210" s="4" t="s">
        <v>279</v>
      </c>
      <c r="C210" s="4" t="s">
        <v>28</v>
      </c>
      <c r="D210" s="4">
        <v>48</v>
      </c>
      <c r="E210" s="4" t="str" cm="1">
        <f t="array" ref="E210">_xlfn.IFS(Table1[[#This Row],[Age]]&lt;=30, "18-30",Table1[[#This Row],[Age]]&lt;=40, "31-40", Table1[[#This Row],[Age]]&lt;=50, "41-50", TRUE, "51-65")</f>
        <v>41-50</v>
      </c>
      <c r="F210" s="4" t="s">
        <v>51</v>
      </c>
      <c r="G210" s="4" t="s">
        <v>73</v>
      </c>
      <c r="H210" s="4">
        <v>32000</v>
      </c>
      <c r="I210" s="5">
        <v>44596</v>
      </c>
      <c r="J210" s="4">
        <v>4.7</v>
      </c>
      <c r="K210" s="4" t="str" cm="1">
        <f t="array" ref="K210">_xlfn.IFS(Table1[[#This Row],[Years_of_Service]]&lt;=2, "0-2 Years", Table1[[#This Row],[Years_of_Service]]&lt;=5, "3-5 Years", Table1[[#This Row],[Years_of_Service]]&lt;=8, "6-8 Years", TRUE, "8 Years")</f>
        <v>3-5 Years</v>
      </c>
      <c r="L210" s="4" t="s">
        <v>49</v>
      </c>
      <c r="M210" s="4">
        <v>58.3</v>
      </c>
      <c r="N210" s="4">
        <v>86.4</v>
      </c>
      <c r="O210" s="4">
        <v>20</v>
      </c>
      <c r="P210" s="4">
        <v>15</v>
      </c>
      <c r="Q210" s="4" t="s">
        <v>32</v>
      </c>
      <c r="R210" s="5"/>
      <c r="S210" s="4" t="s">
        <v>44</v>
      </c>
    </row>
    <row r="211" spans="1:19" x14ac:dyDescent="0.3">
      <c r="A211" s="4">
        <v>210</v>
      </c>
      <c r="B211" s="4" t="s">
        <v>280</v>
      </c>
      <c r="C211" s="4" t="s">
        <v>46</v>
      </c>
      <c r="D211" s="4">
        <v>27</v>
      </c>
      <c r="E211" s="4" t="str" cm="1">
        <f t="array" ref="E211">_xlfn.IFS(Table1[[#This Row],[Age]]&lt;=30, "18-30",Table1[[#This Row],[Age]]&lt;=40, "31-40", Table1[[#This Row],[Age]]&lt;=50, "41-50", TRUE, "51-65")</f>
        <v>18-30</v>
      </c>
      <c r="F211" s="4" t="s">
        <v>85</v>
      </c>
      <c r="G211" s="4" t="s">
        <v>103</v>
      </c>
      <c r="H211" s="4">
        <v>48000</v>
      </c>
      <c r="I211" s="5">
        <v>44020</v>
      </c>
      <c r="J211" s="4">
        <v>6.2</v>
      </c>
      <c r="K211" s="4" t="str" cm="1">
        <f t="array" ref="K211">_xlfn.IFS(Table1[[#This Row],[Years_of_Service]]&lt;=2, "0-2 Years", Table1[[#This Row],[Years_of_Service]]&lt;=5, "3-5 Years", Table1[[#This Row],[Years_of_Service]]&lt;=8, "6-8 Years", TRUE, "8 Years")</f>
        <v>6-8 Years</v>
      </c>
      <c r="L211" s="4" t="s">
        <v>31</v>
      </c>
      <c r="M211" s="4">
        <v>68.099999999999994</v>
      </c>
      <c r="N211" s="4">
        <v>98.6</v>
      </c>
      <c r="O211" s="4">
        <v>12</v>
      </c>
      <c r="P211" s="4">
        <v>10</v>
      </c>
      <c r="Q211" s="4" t="s">
        <v>32</v>
      </c>
      <c r="R211" s="5"/>
      <c r="S211" s="4" t="s">
        <v>75</v>
      </c>
    </row>
    <row r="212" spans="1:19" x14ac:dyDescent="0.3">
      <c r="A212" s="4">
        <v>211</v>
      </c>
      <c r="B212" s="4" t="s">
        <v>281</v>
      </c>
      <c r="C212" s="4" t="s">
        <v>28</v>
      </c>
      <c r="D212" s="4">
        <v>40</v>
      </c>
      <c r="E212" s="4" t="str" cm="1">
        <f t="array" ref="E212">_xlfn.IFS(Table1[[#This Row],[Age]]&lt;=30, "18-30",Table1[[#This Row],[Age]]&lt;=40, "31-40", Table1[[#This Row],[Age]]&lt;=50, "41-50", TRUE, "51-65")</f>
        <v>31-40</v>
      </c>
      <c r="F212" s="4" t="s">
        <v>47</v>
      </c>
      <c r="G212" s="4" t="s">
        <v>89</v>
      </c>
      <c r="H212" s="4">
        <v>32000</v>
      </c>
      <c r="I212" s="5">
        <v>44779</v>
      </c>
      <c r="J212" s="4">
        <v>4.2</v>
      </c>
      <c r="K212" s="4" t="str" cm="1">
        <f t="array" ref="K212">_xlfn.IFS(Table1[[#This Row],[Years_of_Service]]&lt;=2, "0-2 Years", Table1[[#This Row],[Years_of_Service]]&lt;=5, "3-5 Years", Table1[[#This Row],[Years_of_Service]]&lt;=8, "6-8 Years", TRUE, "8 Years")</f>
        <v>3-5 Years</v>
      </c>
      <c r="L212" s="4" t="s">
        <v>98</v>
      </c>
      <c r="M212" s="4">
        <v>75.599999999999994</v>
      </c>
      <c r="N212" s="4">
        <v>85.1</v>
      </c>
      <c r="O212" s="4">
        <v>9</v>
      </c>
      <c r="P212" s="4">
        <v>15</v>
      </c>
      <c r="Q212" s="4" t="s">
        <v>32</v>
      </c>
      <c r="R212" s="5"/>
      <c r="S212" s="4" t="s">
        <v>44</v>
      </c>
    </row>
    <row r="213" spans="1:19" x14ac:dyDescent="0.3">
      <c r="A213" s="4">
        <v>212</v>
      </c>
      <c r="B213" s="4" t="s">
        <v>282</v>
      </c>
      <c r="C213" s="4" t="s">
        <v>46</v>
      </c>
      <c r="D213" s="4">
        <v>45</v>
      </c>
      <c r="E213" s="4" t="str" cm="1">
        <f t="array" ref="E213">_xlfn.IFS(Table1[[#This Row],[Age]]&lt;=30, "18-30",Table1[[#This Row],[Age]]&lt;=40, "31-40", Table1[[#This Row],[Age]]&lt;=50, "41-50", TRUE, "51-65")</f>
        <v>41-50</v>
      </c>
      <c r="F213" s="4" t="s">
        <v>41</v>
      </c>
      <c r="G213" s="4" t="s">
        <v>42</v>
      </c>
      <c r="H213" s="4">
        <v>28000</v>
      </c>
      <c r="I213" s="5">
        <v>44614</v>
      </c>
      <c r="J213" s="4">
        <v>4.5999999999999996</v>
      </c>
      <c r="K213" s="4" t="str" cm="1">
        <f t="array" ref="K213">_xlfn.IFS(Table1[[#This Row],[Years_of_Service]]&lt;=2, "0-2 Years", Table1[[#This Row],[Years_of_Service]]&lt;=5, "3-5 Years", Table1[[#This Row],[Years_of_Service]]&lt;=8, "6-8 Years", TRUE, "8 Years")</f>
        <v>3-5 Years</v>
      </c>
      <c r="L213" s="4" t="s">
        <v>31</v>
      </c>
      <c r="M213" s="4">
        <v>90.1</v>
      </c>
      <c r="N213" s="4">
        <v>88.9</v>
      </c>
      <c r="O213" s="4">
        <v>6</v>
      </c>
      <c r="P213" s="4">
        <v>18</v>
      </c>
      <c r="Q213" s="4" t="s">
        <v>32</v>
      </c>
      <c r="R213" s="5"/>
      <c r="S213" s="4" t="s">
        <v>44</v>
      </c>
    </row>
    <row r="214" spans="1:19" x14ac:dyDescent="0.3">
      <c r="A214" s="4">
        <v>213</v>
      </c>
      <c r="B214" s="4" t="s">
        <v>283</v>
      </c>
      <c r="C214" s="4" t="s">
        <v>28</v>
      </c>
      <c r="D214" s="4">
        <v>50</v>
      </c>
      <c r="E214" s="4" t="str" cm="1">
        <f t="array" ref="E214">_xlfn.IFS(Table1[[#This Row],[Age]]&lt;=30, "18-30",Table1[[#This Row],[Age]]&lt;=40, "31-40", Table1[[#This Row],[Age]]&lt;=50, "41-50", TRUE, "51-65")</f>
        <v>41-50</v>
      </c>
      <c r="F214" s="4" t="s">
        <v>51</v>
      </c>
      <c r="G214" s="4" t="s">
        <v>52</v>
      </c>
      <c r="H214" s="4">
        <v>34000</v>
      </c>
      <c r="I214" s="5">
        <v>44324</v>
      </c>
      <c r="J214" s="4">
        <v>5.4</v>
      </c>
      <c r="K214" s="4" t="str" cm="1">
        <f t="array" ref="K214">_xlfn.IFS(Table1[[#This Row],[Years_of_Service]]&lt;=2, "0-2 Years", Table1[[#This Row],[Years_of_Service]]&lt;=5, "3-5 Years", Table1[[#This Row],[Years_of_Service]]&lt;=8, "6-8 Years", TRUE, "8 Years")</f>
        <v>6-8 Years</v>
      </c>
      <c r="L214" s="4" t="s">
        <v>49</v>
      </c>
      <c r="M214" s="4">
        <v>84.8</v>
      </c>
      <c r="N214" s="4">
        <v>96.3</v>
      </c>
      <c r="O214" s="4">
        <v>15</v>
      </c>
      <c r="P214" s="4">
        <v>4</v>
      </c>
      <c r="Q214" s="4" t="s">
        <v>32</v>
      </c>
      <c r="R214" s="5"/>
      <c r="S214" s="4" t="s">
        <v>39</v>
      </c>
    </row>
    <row r="215" spans="1:19" x14ac:dyDescent="0.3">
      <c r="A215" s="4">
        <v>214</v>
      </c>
      <c r="B215" s="4" t="s">
        <v>284</v>
      </c>
      <c r="C215" s="4" t="s">
        <v>28</v>
      </c>
      <c r="D215" s="4">
        <v>48</v>
      </c>
      <c r="E215" s="4" t="str" cm="1">
        <f t="array" ref="E215">_xlfn.IFS(Table1[[#This Row],[Age]]&lt;=30, "18-30",Table1[[#This Row],[Age]]&lt;=40, "31-40", Table1[[#This Row],[Age]]&lt;=50, "41-50", TRUE, "51-65")</f>
        <v>41-50</v>
      </c>
      <c r="F215" s="4" t="s">
        <v>51</v>
      </c>
      <c r="G215" s="4" t="s">
        <v>55</v>
      </c>
      <c r="H215" s="4">
        <v>44000</v>
      </c>
      <c r="I215" s="5">
        <v>45010</v>
      </c>
      <c r="J215" s="4">
        <v>3.5</v>
      </c>
      <c r="K215" s="4" t="str" cm="1">
        <f t="array" ref="K215">_xlfn.IFS(Table1[[#This Row],[Years_of_Service]]&lt;=2, "0-2 Years", Table1[[#This Row],[Years_of_Service]]&lt;=5, "3-5 Years", Table1[[#This Row],[Years_of_Service]]&lt;=8, "6-8 Years", TRUE, "8 Years")</f>
        <v>3-5 Years</v>
      </c>
      <c r="L215" s="4" t="s">
        <v>31</v>
      </c>
      <c r="M215" s="4">
        <v>58.2</v>
      </c>
      <c r="N215" s="4">
        <v>99.3</v>
      </c>
      <c r="O215" s="4">
        <v>12</v>
      </c>
      <c r="P215" s="4">
        <v>17</v>
      </c>
      <c r="Q215" s="4" t="s">
        <v>32</v>
      </c>
      <c r="R215" s="5"/>
      <c r="S215" s="4" t="s">
        <v>44</v>
      </c>
    </row>
    <row r="216" spans="1:19" x14ac:dyDescent="0.3">
      <c r="A216" s="4">
        <v>215</v>
      </c>
      <c r="B216" s="4" t="s">
        <v>285</v>
      </c>
      <c r="C216" s="4" t="s">
        <v>46</v>
      </c>
      <c r="D216" s="4">
        <v>55</v>
      </c>
      <c r="E216" s="4" t="str" cm="1">
        <f t="array" ref="E216">_xlfn.IFS(Table1[[#This Row],[Age]]&lt;=30, "18-30",Table1[[#This Row],[Age]]&lt;=40, "31-40", Table1[[#This Row],[Age]]&lt;=50, "41-50", TRUE, "51-65")</f>
        <v>51-65</v>
      </c>
      <c r="F216" s="4" t="s">
        <v>41</v>
      </c>
      <c r="G216" s="4" t="s">
        <v>71</v>
      </c>
      <c r="H216" s="4">
        <v>37000</v>
      </c>
      <c r="I216" s="5">
        <v>43616</v>
      </c>
      <c r="J216" s="4">
        <v>7.4</v>
      </c>
      <c r="K216" s="4" t="str" cm="1">
        <f t="array" ref="K216">_xlfn.IFS(Table1[[#This Row],[Years_of_Service]]&lt;=2, "0-2 Years", Table1[[#This Row],[Years_of_Service]]&lt;=5, "3-5 Years", Table1[[#This Row],[Years_of_Service]]&lt;=8, "6-8 Years", TRUE, "8 Years")</f>
        <v>6-8 Years</v>
      </c>
      <c r="L216" s="4" t="s">
        <v>43</v>
      </c>
      <c r="M216" s="4">
        <v>93.5</v>
      </c>
      <c r="N216" s="4">
        <v>91.4</v>
      </c>
      <c r="O216" s="4">
        <v>24</v>
      </c>
      <c r="P216" s="4">
        <v>7</v>
      </c>
      <c r="Q216" s="4" t="s">
        <v>32</v>
      </c>
      <c r="R216" s="5"/>
      <c r="S216" s="4" t="s">
        <v>39</v>
      </c>
    </row>
    <row r="217" spans="1:19" x14ac:dyDescent="0.3">
      <c r="A217" s="4">
        <v>216</v>
      </c>
      <c r="B217" s="4" t="s">
        <v>286</v>
      </c>
      <c r="C217" s="4" t="s">
        <v>28</v>
      </c>
      <c r="D217" s="4">
        <v>57</v>
      </c>
      <c r="E217" s="4" t="str" cm="1">
        <f t="array" ref="E217">_xlfn.IFS(Table1[[#This Row],[Age]]&lt;=30, "18-30",Table1[[#This Row],[Age]]&lt;=40, "31-40", Table1[[#This Row],[Age]]&lt;=50, "41-50", TRUE, "51-65")</f>
        <v>51-65</v>
      </c>
      <c r="F217" s="4" t="s">
        <v>51</v>
      </c>
      <c r="G217" s="4" t="s">
        <v>52</v>
      </c>
      <c r="H217" s="4">
        <v>33000</v>
      </c>
      <c r="I217" s="5">
        <v>46108</v>
      </c>
      <c r="J217" s="4">
        <v>0.5</v>
      </c>
      <c r="K217" s="4" t="str" cm="1">
        <f t="array" ref="K217">_xlfn.IFS(Table1[[#This Row],[Years_of_Service]]&lt;=2, "0-2 Years", Table1[[#This Row],[Years_of_Service]]&lt;=5, "3-5 Years", Table1[[#This Row],[Years_of_Service]]&lt;=8, "6-8 Years", TRUE, "8 Years")</f>
        <v>0-2 Years</v>
      </c>
      <c r="L217" s="4" t="s">
        <v>53</v>
      </c>
      <c r="M217" s="4">
        <v>84.1</v>
      </c>
      <c r="N217" s="4">
        <v>89</v>
      </c>
      <c r="O217" s="4">
        <v>3</v>
      </c>
      <c r="P217" s="4">
        <v>0</v>
      </c>
      <c r="Q217" s="4" t="s">
        <v>32</v>
      </c>
      <c r="R217" s="5"/>
      <c r="S217" s="4" t="s">
        <v>33</v>
      </c>
    </row>
    <row r="218" spans="1:19" x14ac:dyDescent="0.3">
      <c r="A218" s="4">
        <v>217</v>
      </c>
      <c r="B218" s="4" t="s">
        <v>287</v>
      </c>
      <c r="C218" s="4" t="s">
        <v>28</v>
      </c>
      <c r="D218" s="4">
        <v>49</v>
      </c>
      <c r="E218" s="4" t="str" cm="1">
        <f t="array" ref="E218">_xlfn.IFS(Table1[[#This Row],[Age]]&lt;=30, "18-30",Table1[[#This Row],[Age]]&lt;=40, "31-40", Table1[[#This Row],[Age]]&lt;=50, "41-50", TRUE, "51-65")</f>
        <v>41-50</v>
      </c>
      <c r="F218" s="4" t="s">
        <v>47</v>
      </c>
      <c r="G218" s="4" t="s">
        <v>48</v>
      </c>
      <c r="H218" s="4">
        <v>31000</v>
      </c>
      <c r="I218" s="5">
        <v>44998</v>
      </c>
      <c r="J218" s="4">
        <v>3.6</v>
      </c>
      <c r="K218" s="4" t="str" cm="1">
        <f t="array" ref="K218">_xlfn.IFS(Table1[[#This Row],[Years_of_Service]]&lt;=2, "0-2 Years", Table1[[#This Row],[Years_of_Service]]&lt;=5, "3-5 Years", Table1[[#This Row],[Years_of_Service]]&lt;=8, "6-8 Years", TRUE, "8 Years")</f>
        <v>3-5 Years</v>
      </c>
      <c r="L218" s="4" t="s">
        <v>43</v>
      </c>
      <c r="M218" s="4">
        <v>80.3</v>
      </c>
      <c r="N218" s="4">
        <v>90.8</v>
      </c>
      <c r="O218" s="4">
        <v>15</v>
      </c>
      <c r="P218" s="4">
        <v>3</v>
      </c>
      <c r="Q218" s="4" t="s">
        <v>32</v>
      </c>
      <c r="R218" s="5"/>
      <c r="S218" s="4" t="s">
        <v>39</v>
      </c>
    </row>
    <row r="219" spans="1:19" x14ac:dyDescent="0.3">
      <c r="A219" s="4">
        <v>218</v>
      </c>
      <c r="B219" s="4" t="s">
        <v>288</v>
      </c>
      <c r="C219" s="4" t="s">
        <v>28</v>
      </c>
      <c r="D219" s="4">
        <v>30</v>
      </c>
      <c r="E219" s="4" t="str" cm="1">
        <f t="array" ref="E219">_xlfn.IFS(Table1[[#This Row],[Age]]&lt;=30, "18-30",Table1[[#This Row],[Age]]&lt;=40, "31-40", Table1[[#This Row],[Age]]&lt;=50, "41-50", TRUE, "51-65")</f>
        <v>18-30</v>
      </c>
      <c r="F219" s="4" t="s">
        <v>58</v>
      </c>
      <c r="G219" s="4" t="s">
        <v>136</v>
      </c>
      <c r="H219" s="4">
        <v>64000</v>
      </c>
      <c r="I219" s="5">
        <v>44892</v>
      </c>
      <c r="J219" s="4">
        <v>3.9</v>
      </c>
      <c r="K219" s="4" t="str" cm="1">
        <f t="array" ref="K219">_xlfn.IFS(Table1[[#This Row],[Years_of_Service]]&lt;=2, "0-2 Years", Table1[[#This Row],[Years_of_Service]]&lt;=5, "3-5 Years", Table1[[#This Row],[Years_of_Service]]&lt;=8, "6-8 Years", TRUE, "8 Years")</f>
        <v>3-5 Years</v>
      </c>
      <c r="L219" s="4" t="s">
        <v>31</v>
      </c>
      <c r="M219" s="4">
        <v>68.400000000000006</v>
      </c>
      <c r="N219" s="4">
        <v>90</v>
      </c>
      <c r="O219" s="4">
        <v>15</v>
      </c>
      <c r="P219" s="4">
        <v>11</v>
      </c>
      <c r="Q219" s="4" t="s">
        <v>32</v>
      </c>
      <c r="R219" s="5"/>
      <c r="S219" s="4" t="s">
        <v>75</v>
      </c>
    </row>
    <row r="220" spans="1:19" x14ac:dyDescent="0.3">
      <c r="A220" s="4">
        <v>219</v>
      </c>
      <c r="B220" s="4" t="s">
        <v>289</v>
      </c>
      <c r="C220" s="4" t="s">
        <v>46</v>
      </c>
      <c r="D220" s="4">
        <v>41</v>
      </c>
      <c r="E220" s="4" t="str" cm="1">
        <f t="array" ref="E220">_xlfn.IFS(Table1[[#This Row],[Age]]&lt;=30, "18-30",Table1[[#This Row],[Age]]&lt;=40, "31-40", Table1[[#This Row],[Age]]&lt;=50, "41-50", TRUE, "51-65")</f>
        <v>41-50</v>
      </c>
      <c r="F220" s="4" t="s">
        <v>35</v>
      </c>
      <c r="G220" s="4" t="s">
        <v>81</v>
      </c>
      <c r="H220" s="4">
        <v>48000</v>
      </c>
      <c r="I220" s="5">
        <v>43741</v>
      </c>
      <c r="J220" s="4">
        <v>7</v>
      </c>
      <c r="K220" s="4" t="str" cm="1">
        <f t="array" ref="K220">_xlfn.IFS(Table1[[#This Row],[Years_of_Service]]&lt;=2, "0-2 Years", Table1[[#This Row],[Years_of_Service]]&lt;=5, "3-5 Years", Table1[[#This Row],[Years_of_Service]]&lt;=8, "6-8 Years", TRUE, "8 Years")</f>
        <v>6-8 Years</v>
      </c>
      <c r="L220" s="4" t="s">
        <v>49</v>
      </c>
      <c r="M220" s="4">
        <v>59.9</v>
      </c>
      <c r="N220" s="4">
        <v>96.9</v>
      </c>
      <c r="O220" s="4">
        <v>5</v>
      </c>
      <c r="P220" s="4">
        <v>7</v>
      </c>
      <c r="Q220" s="4" t="s">
        <v>32</v>
      </c>
      <c r="R220" s="5"/>
      <c r="S220" s="4" t="s">
        <v>44</v>
      </c>
    </row>
    <row r="221" spans="1:19" x14ac:dyDescent="0.3">
      <c r="A221" s="4">
        <v>220</v>
      </c>
      <c r="B221" s="4" t="s">
        <v>290</v>
      </c>
      <c r="C221" s="4" t="s">
        <v>28</v>
      </c>
      <c r="D221" s="4">
        <v>42</v>
      </c>
      <c r="E221" s="4" t="str" cm="1">
        <f t="array" ref="E221">_xlfn.IFS(Table1[[#This Row],[Age]]&lt;=30, "18-30",Table1[[#This Row],[Age]]&lt;=40, "31-40", Table1[[#This Row],[Age]]&lt;=50, "41-50", TRUE, "51-65")</f>
        <v>41-50</v>
      </c>
      <c r="F221" s="4" t="s">
        <v>51</v>
      </c>
      <c r="G221" s="4" t="s">
        <v>52</v>
      </c>
      <c r="H221" s="4">
        <v>58000</v>
      </c>
      <c r="I221" s="5">
        <v>45759</v>
      </c>
      <c r="J221" s="4">
        <v>1.5</v>
      </c>
      <c r="K221" s="4" t="str" cm="1">
        <f t="array" ref="K221">_xlfn.IFS(Table1[[#This Row],[Years_of_Service]]&lt;=2, "0-2 Years", Table1[[#This Row],[Years_of_Service]]&lt;=5, "3-5 Years", Table1[[#This Row],[Years_of_Service]]&lt;=8, "6-8 Years", TRUE, "8 Years")</f>
        <v>0-2 Years</v>
      </c>
      <c r="L221" s="4" t="s">
        <v>49</v>
      </c>
      <c r="M221" s="4">
        <v>73.3</v>
      </c>
      <c r="N221" s="4">
        <v>90.1</v>
      </c>
      <c r="O221" s="4">
        <v>5</v>
      </c>
      <c r="P221" s="4">
        <v>5</v>
      </c>
      <c r="Q221" s="4" t="s">
        <v>32</v>
      </c>
      <c r="R221" s="5"/>
      <c r="S221" s="4" t="s">
        <v>75</v>
      </c>
    </row>
    <row r="222" spans="1:19" x14ac:dyDescent="0.3">
      <c r="A222" s="4">
        <v>221</v>
      </c>
      <c r="B222" s="4" t="s">
        <v>291</v>
      </c>
      <c r="C222" s="4" t="s">
        <v>28</v>
      </c>
      <c r="D222" s="4">
        <v>49</v>
      </c>
      <c r="E222" s="4" t="str" cm="1">
        <f t="array" ref="E222">_xlfn.IFS(Table1[[#This Row],[Age]]&lt;=30, "18-30",Table1[[#This Row],[Age]]&lt;=40, "31-40", Table1[[#This Row],[Age]]&lt;=50, "41-50", TRUE, "51-65")</f>
        <v>41-50</v>
      </c>
      <c r="F222" s="4" t="s">
        <v>58</v>
      </c>
      <c r="G222" s="4" t="s">
        <v>136</v>
      </c>
      <c r="H222" s="4">
        <v>51000</v>
      </c>
      <c r="I222" s="5">
        <v>45891</v>
      </c>
      <c r="J222" s="4">
        <v>1.1000000000000001</v>
      </c>
      <c r="K222" s="4" t="str" cm="1">
        <f t="array" ref="K222">_xlfn.IFS(Table1[[#This Row],[Years_of_Service]]&lt;=2, "0-2 Years", Table1[[#This Row],[Years_of_Service]]&lt;=5, "3-5 Years", Table1[[#This Row],[Years_of_Service]]&lt;=8, "6-8 Years", TRUE, "8 Years")</f>
        <v>0-2 Years</v>
      </c>
      <c r="L222" s="4" t="s">
        <v>31</v>
      </c>
      <c r="M222" s="4">
        <v>64.2</v>
      </c>
      <c r="N222" s="4">
        <v>86.9</v>
      </c>
      <c r="O222" s="4">
        <v>3</v>
      </c>
      <c r="P222" s="4">
        <v>17</v>
      </c>
      <c r="Q222" s="4" t="s">
        <v>32</v>
      </c>
      <c r="R222" s="5"/>
      <c r="S222" s="4" t="s">
        <v>60</v>
      </c>
    </row>
    <row r="223" spans="1:19" x14ac:dyDescent="0.3">
      <c r="A223" s="4">
        <v>222</v>
      </c>
      <c r="B223" s="4" t="s">
        <v>292</v>
      </c>
      <c r="C223" s="4" t="s">
        <v>28</v>
      </c>
      <c r="D223" s="4">
        <v>50</v>
      </c>
      <c r="E223" s="4" t="str" cm="1">
        <f t="array" ref="E223">_xlfn.IFS(Table1[[#This Row],[Age]]&lt;=30, "18-30",Table1[[#This Row],[Age]]&lt;=40, "31-40", Table1[[#This Row],[Age]]&lt;=50, "41-50", TRUE, "51-65")</f>
        <v>41-50</v>
      </c>
      <c r="F223" s="4" t="s">
        <v>47</v>
      </c>
      <c r="G223" s="4" t="s">
        <v>89</v>
      </c>
      <c r="H223" s="4">
        <v>45000</v>
      </c>
      <c r="I223" s="5">
        <v>43932</v>
      </c>
      <c r="J223" s="4">
        <v>6.5</v>
      </c>
      <c r="K223" s="4" t="str" cm="1">
        <f t="array" ref="K223">_xlfn.IFS(Table1[[#This Row],[Years_of_Service]]&lt;=2, "0-2 Years", Table1[[#This Row],[Years_of_Service]]&lt;=5, "3-5 Years", Table1[[#This Row],[Years_of_Service]]&lt;=8, "6-8 Years", TRUE, "8 Years")</f>
        <v>6-8 Years</v>
      </c>
      <c r="L223" s="4" t="s">
        <v>98</v>
      </c>
      <c r="M223" s="4">
        <v>66.3</v>
      </c>
      <c r="N223" s="4">
        <v>97.1</v>
      </c>
      <c r="O223" s="4">
        <v>19</v>
      </c>
      <c r="P223" s="4">
        <v>12</v>
      </c>
      <c r="Q223" s="4" t="s">
        <v>38</v>
      </c>
      <c r="R223" s="5">
        <v>45647</v>
      </c>
      <c r="S223" s="4" t="s">
        <v>44</v>
      </c>
    </row>
    <row r="224" spans="1:19" x14ac:dyDescent="0.3">
      <c r="A224" s="4">
        <v>223</v>
      </c>
      <c r="B224" s="4" t="s">
        <v>293</v>
      </c>
      <c r="C224" s="4" t="s">
        <v>28</v>
      </c>
      <c r="D224" s="4">
        <v>43</v>
      </c>
      <c r="E224" s="4" t="str" cm="1">
        <f t="array" ref="E224">_xlfn.IFS(Table1[[#This Row],[Age]]&lt;=30, "18-30",Table1[[#This Row],[Age]]&lt;=40, "31-40", Table1[[#This Row],[Age]]&lt;=50, "41-50", TRUE, "51-65")</f>
        <v>41-50</v>
      </c>
      <c r="F224" s="4" t="s">
        <v>58</v>
      </c>
      <c r="G224" s="4" t="s">
        <v>78</v>
      </c>
      <c r="H224" s="4">
        <v>60000</v>
      </c>
      <c r="I224" s="5">
        <v>44907</v>
      </c>
      <c r="J224" s="4">
        <v>3.8</v>
      </c>
      <c r="K224" s="4" t="str" cm="1">
        <f t="array" ref="K224">_xlfn.IFS(Table1[[#This Row],[Years_of_Service]]&lt;=2, "0-2 Years", Table1[[#This Row],[Years_of_Service]]&lt;=5, "3-5 Years", Table1[[#This Row],[Years_of_Service]]&lt;=8, "6-8 Years", TRUE, "8 Years")</f>
        <v>3-5 Years</v>
      </c>
      <c r="L224" s="4" t="s">
        <v>31</v>
      </c>
      <c r="M224" s="4">
        <v>90</v>
      </c>
      <c r="N224" s="4">
        <v>94.4</v>
      </c>
      <c r="O224" s="4">
        <v>18</v>
      </c>
      <c r="P224" s="4">
        <v>2</v>
      </c>
      <c r="Q224" s="4" t="s">
        <v>32</v>
      </c>
      <c r="R224" s="5"/>
      <c r="S224" s="4" t="s">
        <v>60</v>
      </c>
    </row>
    <row r="225" spans="1:19" x14ac:dyDescent="0.3">
      <c r="A225" s="4">
        <v>224</v>
      </c>
      <c r="B225" s="4" t="s">
        <v>294</v>
      </c>
      <c r="C225" s="4" t="s">
        <v>28</v>
      </c>
      <c r="D225" s="4">
        <v>40</v>
      </c>
      <c r="E225" s="4" t="str" cm="1">
        <f t="array" ref="E225">_xlfn.IFS(Table1[[#This Row],[Age]]&lt;=30, "18-30",Table1[[#This Row],[Age]]&lt;=40, "31-40", Table1[[#This Row],[Age]]&lt;=50, "41-50", TRUE, "51-65")</f>
        <v>31-40</v>
      </c>
      <c r="F225" s="4" t="s">
        <v>47</v>
      </c>
      <c r="G225" s="4" t="s">
        <v>48</v>
      </c>
      <c r="H225" s="4">
        <v>33000</v>
      </c>
      <c r="I225" s="5">
        <v>43945</v>
      </c>
      <c r="J225" s="4">
        <v>6.5</v>
      </c>
      <c r="K225" s="4" t="str" cm="1">
        <f t="array" ref="K225">_xlfn.IFS(Table1[[#This Row],[Years_of_Service]]&lt;=2, "0-2 Years", Table1[[#This Row],[Years_of_Service]]&lt;=5, "3-5 Years", Table1[[#This Row],[Years_of_Service]]&lt;=8, "6-8 Years", TRUE, "8 Years")</f>
        <v>6-8 Years</v>
      </c>
      <c r="L225" s="4" t="s">
        <v>53</v>
      </c>
      <c r="M225" s="4">
        <v>62.9</v>
      </c>
      <c r="N225" s="4">
        <v>94.1</v>
      </c>
      <c r="O225" s="4">
        <v>19</v>
      </c>
      <c r="P225" s="4">
        <v>4</v>
      </c>
      <c r="Q225" s="4" t="s">
        <v>38</v>
      </c>
      <c r="R225" s="5">
        <v>45904</v>
      </c>
      <c r="S225" s="4" t="s">
        <v>44</v>
      </c>
    </row>
    <row r="226" spans="1:19" x14ac:dyDescent="0.3">
      <c r="A226" s="4">
        <v>225</v>
      </c>
      <c r="B226" s="4" t="s">
        <v>295</v>
      </c>
      <c r="C226" s="4" t="s">
        <v>28</v>
      </c>
      <c r="D226" s="4">
        <v>52</v>
      </c>
      <c r="E226" s="4" t="str" cm="1">
        <f t="array" ref="E226">_xlfn.IFS(Table1[[#This Row],[Age]]&lt;=30, "18-30",Table1[[#This Row],[Age]]&lt;=40, "31-40", Table1[[#This Row],[Age]]&lt;=50, "41-50", TRUE, "51-65")</f>
        <v>51-65</v>
      </c>
      <c r="F226" s="4" t="s">
        <v>58</v>
      </c>
      <c r="G226" s="4" t="s">
        <v>59</v>
      </c>
      <c r="H226" s="4">
        <v>27000</v>
      </c>
      <c r="I226" s="5">
        <v>46069</v>
      </c>
      <c r="J226" s="4">
        <v>0.6</v>
      </c>
      <c r="K226" s="4" t="str" cm="1">
        <f t="array" ref="K226">_xlfn.IFS(Table1[[#This Row],[Years_of_Service]]&lt;=2, "0-2 Years", Table1[[#This Row],[Years_of_Service]]&lt;=5, "3-5 Years", Table1[[#This Row],[Years_of_Service]]&lt;=8, "6-8 Years", TRUE, "8 Years")</f>
        <v>0-2 Years</v>
      </c>
      <c r="L226" s="4" t="s">
        <v>53</v>
      </c>
      <c r="M226" s="4">
        <v>95</v>
      </c>
      <c r="N226" s="4">
        <v>85</v>
      </c>
      <c r="O226" s="4">
        <v>9</v>
      </c>
      <c r="P226" s="4">
        <v>4</v>
      </c>
      <c r="Q226" s="4" t="s">
        <v>32</v>
      </c>
      <c r="R226" s="5"/>
      <c r="S226" s="4" t="s">
        <v>60</v>
      </c>
    </row>
    <row r="227" spans="1:19" x14ac:dyDescent="0.3">
      <c r="A227" s="4">
        <v>226</v>
      </c>
      <c r="B227" s="4" t="s">
        <v>296</v>
      </c>
      <c r="C227" s="4" t="s">
        <v>28</v>
      </c>
      <c r="D227" s="4">
        <v>43</v>
      </c>
      <c r="E227" s="4" t="str" cm="1">
        <f t="array" ref="E227">_xlfn.IFS(Table1[[#This Row],[Age]]&lt;=30, "18-30",Table1[[#This Row],[Age]]&lt;=40, "31-40", Table1[[#This Row],[Age]]&lt;=50, "41-50", TRUE, "51-65")</f>
        <v>41-50</v>
      </c>
      <c r="F227" s="4" t="s">
        <v>47</v>
      </c>
      <c r="G227" s="4" t="s">
        <v>89</v>
      </c>
      <c r="H227" s="4">
        <v>39000</v>
      </c>
      <c r="I227" s="5">
        <v>43505</v>
      </c>
      <c r="J227" s="4">
        <v>7.7</v>
      </c>
      <c r="K227" s="4" t="str" cm="1">
        <f t="array" ref="K227">_xlfn.IFS(Table1[[#This Row],[Years_of_Service]]&lt;=2, "0-2 Years", Table1[[#This Row],[Years_of_Service]]&lt;=5, "3-5 Years", Table1[[#This Row],[Years_of_Service]]&lt;=8, "6-8 Years", TRUE, "8 Years")</f>
        <v>6-8 Years</v>
      </c>
      <c r="L227" s="4" t="s">
        <v>31</v>
      </c>
      <c r="M227" s="4">
        <v>75.8</v>
      </c>
      <c r="N227" s="4">
        <v>85.4</v>
      </c>
      <c r="O227" s="4">
        <v>16</v>
      </c>
      <c r="P227" s="4">
        <v>15</v>
      </c>
      <c r="Q227" s="4" t="s">
        <v>32</v>
      </c>
      <c r="R227" s="5"/>
      <c r="S227" s="4" t="s">
        <v>75</v>
      </c>
    </row>
    <row r="228" spans="1:19" x14ac:dyDescent="0.3">
      <c r="A228" s="4">
        <v>227</v>
      </c>
      <c r="B228" s="4" t="s">
        <v>297</v>
      </c>
      <c r="C228" s="4" t="s">
        <v>46</v>
      </c>
      <c r="D228" s="4">
        <v>49</v>
      </c>
      <c r="E228" s="4" t="str" cm="1">
        <f t="array" ref="E228">_xlfn.IFS(Table1[[#This Row],[Age]]&lt;=30, "18-30",Table1[[#This Row],[Age]]&lt;=40, "31-40", Table1[[#This Row],[Age]]&lt;=50, "41-50", TRUE, "51-65")</f>
        <v>41-50</v>
      </c>
      <c r="F228" s="4" t="s">
        <v>29</v>
      </c>
      <c r="G228" s="4" t="s">
        <v>93</v>
      </c>
      <c r="H228" s="4">
        <v>52000</v>
      </c>
      <c r="I228" s="5">
        <v>45467</v>
      </c>
      <c r="J228" s="4">
        <v>2.2999999999999998</v>
      </c>
      <c r="K228" s="4" t="str" cm="1">
        <f t="array" ref="K228">_xlfn.IFS(Table1[[#This Row],[Years_of_Service]]&lt;=2, "0-2 Years", Table1[[#This Row],[Years_of_Service]]&lt;=5, "3-5 Years", Table1[[#This Row],[Years_of_Service]]&lt;=8, "6-8 Years", TRUE, "8 Years")</f>
        <v>3-5 Years</v>
      </c>
      <c r="L228" s="4" t="s">
        <v>98</v>
      </c>
      <c r="M228" s="4">
        <v>89.2</v>
      </c>
      <c r="N228" s="4">
        <v>85.9</v>
      </c>
      <c r="O228" s="4">
        <v>7</v>
      </c>
      <c r="P228" s="4">
        <v>17</v>
      </c>
      <c r="Q228" s="4" t="s">
        <v>32</v>
      </c>
      <c r="R228" s="5"/>
      <c r="S228" s="4" t="s">
        <v>39</v>
      </c>
    </row>
    <row r="229" spans="1:19" x14ac:dyDescent="0.3">
      <c r="A229" s="4">
        <v>228</v>
      </c>
      <c r="B229" s="4" t="s">
        <v>298</v>
      </c>
      <c r="C229" s="4" t="s">
        <v>46</v>
      </c>
      <c r="D229" s="4">
        <v>56</v>
      </c>
      <c r="E229" s="4" t="str" cm="1">
        <f t="array" ref="E229">_xlfn.IFS(Table1[[#This Row],[Age]]&lt;=30, "18-30",Table1[[#This Row],[Age]]&lt;=40, "31-40", Table1[[#This Row],[Age]]&lt;=50, "41-50", TRUE, "51-65")</f>
        <v>51-65</v>
      </c>
      <c r="F229" s="4" t="s">
        <v>51</v>
      </c>
      <c r="G229" s="4" t="s">
        <v>55</v>
      </c>
      <c r="H229" s="4">
        <v>52000</v>
      </c>
      <c r="I229" s="5">
        <v>45558</v>
      </c>
      <c r="J229" s="4">
        <v>2</v>
      </c>
      <c r="K229" s="4" t="str" cm="1">
        <f t="array" ref="K229">_xlfn.IFS(Table1[[#This Row],[Years_of_Service]]&lt;=2, "0-2 Years", Table1[[#This Row],[Years_of_Service]]&lt;=5, "3-5 Years", Table1[[#This Row],[Years_of_Service]]&lt;=8, "6-8 Years", TRUE, "8 Years")</f>
        <v>0-2 Years</v>
      </c>
      <c r="L229" s="4" t="s">
        <v>31</v>
      </c>
      <c r="M229" s="4">
        <v>59.9</v>
      </c>
      <c r="N229" s="4">
        <v>84</v>
      </c>
      <c r="O229" s="4">
        <v>24</v>
      </c>
      <c r="P229" s="4">
        <v>1</v>
      </c>
      <c r="Q229" s="4" t="s">
        <v>38</v>
      </c>
      <c r="R229" s="5">
        <v>45926</v>
      </c>
      <c r="S229" s="4" t="s">
        <v>75</v>
      </c>
    </row>
    <row r="230" spans="1:19" x14ac:dyDescent="0.3">
      <c r="A230" s="4">
        <v>229</v>
      </c>
      <c r="B230" s="4" t="s">
        <v>299</v>
      </c>
      <c r="C230" s="4" t="s">
        <v>46</v>
      </c>
      <c r="D230" s="4">
        <v>27</v>
      </c>
      <c r="E230" s="4" t="str" cm="1">
        <f t="array" ref="E230">_xlfn.IFS(Table1[[#This Row],[Age]]&lt;=30, "18-30",Table1[[#This Row],[Age]]&lt;=40, "31-40", Table1[[#This Row],[Age]]&lt;=50, "41-50", TRUE, "51-65")</f>
        <v>18-30</v>
      </c>
      <c r="F230" s="4" t="s">
        <v>85</v>
      </c>
      <c r="G230" s="4" t="s">
        <v>103</v>
      </c>
      <c r="H230" s="4">
        <v>43000</v>
      </c>
      <c r="I230" s="5">
        <v>46143</v>
      </c>
      <c r="J230" s="4">
        <v>0.4</v>
      </c>
      <c r="K230" s="4" t="str" cm="1">
        <f t="array" ref="K230">_xlfn.IFS(Table1[[#This Row],[Years_of_Service]]&lt;=2, "0-2 Years", Table1[[#This Row],[Years_of_Service]]&lt;=5, "3-5 Years", Table1[[#This Row],[Years_of_Service]]&lt;=8, "6-8 Years", TRUE, "8 Years")</f>
        <v>0-2 Years</v>
      </c>
      <c r="L230" s="4" t="s">
        <v>43</v>
      </c>
      <c r="M230" s="4">
        <v>98</v>
      </c>
      <c r="N230" s="4">
        <v>89.9</v>
      </c>
      <c r="O230" s="4">
        <v>14</v>
      </c>
      <c r="P230" s="4">
        <v>3</v>
      </c>
      <c r="Q230" s="4" t="s">
        <v>32</v>
      </c>
      <c r="R230" s="5"/>
      <c r="S230" s="4" t="s">
        <v>60</v>
      </c>
    </row>
    <row r="231" spans="1:19" x14ac:dyDescent="0.3">
      <c r="A231" s="4">
        <v>230</v>
      </c>
      <c r="B231" s="4" t="s">
        <v>300</v>
      </c>
      <c r="C231" s="4" t="s">
        <v>46</v>
      </c>
      <c r="D231" s="4">
        <v>48</v>
      </c>
      <c r="E231" s="4" t="str" cm="1">
        <f t="array" ref="E231">_xlfn.IFS(Table1[[#This Row],[Age]]&lt;=30, "18-30",Table1[[#This Row],[Age]]&lt;=40, "31-40", Table1[[#This Row],[Age]]&lt;=50, "41-50", TRUE, "51-65")</f>
        <v>41-50</v>
      </c>
      <c r="F231" s="4" t="s">
        <v>51</v>
      </c>
      <c r="G231" s="4" t="s">
        <v>52</v>
      </c>
      <c r="H231" s="4">
        <v>34000</v>
      </c>
      <c r="I231" s="5">
        <v>44145</v>
      </c>
      <c r="J231" s="4">
        <v>5.9</v>
      </c>
      <c r="K231" s="4" t="str" cm="1">
        <f t="array" ref="K231">_xlfn.IFS(Table1[[#This Row],[Years_of_Service]]&lt;=2, "0-2 Years", Table1[[#This Row],[Years_of_Service]]&lt;=5, "3-5 Years", Table1[[#This Row],[Years_of_Service]]&lt;=8, "6-8 Years", TRUE, "8 Years")</f>
        <v>6-8 Years</v>
      </c>
      <c r="L231" s="4" t="s">
        <v>43</v>
      </c>
      <c r="M231" s="4">
        <v>81.5</v>
      </c>
      <c r="N231" s="4">
        <v>95.7</v>
      </c>
      <c r="O231" s="4">
        <v>18</v>
      </c>
      <c r="P231" s="4">
        <v>11</v>
      </c>
      <c r="Q231" s="4" t="s">
        <v>32</v>
      </c>
      <c r="R231" s="5"/>
      <c r="S231" s="4" t="s">
        <v>44</v>
      </c>
    </row>
    <row r="232" spans="1:19" x14ac:dyDescent="0.3">
      <c r="A232" s="4">
        <v>231</v>
      </c>
      <c r="B232" s="4" t="s">
        <v>301</v>
      </c>
      <c r="C232" s="4" t="s">
        <v>28</v>
      </c>
      <c r="D232" s="4">
        <v>41</v>
      </c>
      <c r="E232" s="4" t="str" cm="1">
        <f t="array" ref="E232">_xlfn.IFS(Table1[[#This Row],[Age]]&lt;=30, "18-30",Table1[[#This Row],[Age]]&lt;=40, "31-40", Table1[[#This Row],[Age]]&lt;=50, "41-50", TRUE, "51-65")</f>
        <v>41-50</v>
      </c>
      <c r="F232" s="4" t="s">
        <v>47</v>
      </c>
      <c r="G232" s="4" t="s">
        <v>64</v>
      </c>
      <c r="H232" s="4">
        <v>43000</v>
      </c>
      <c r="I232" s="5">
        <v>44664</v>
      </c>
      <c r="J232" s="4">
        <v>4.5</v>
      </c>
      <c r="K232" s="4" t="str" cm="1">
        <f t="array" ref="K232">_xlfn.IFS(Table1[[#This Row],[Years_of_Service]]&lt;=2, "0-2 Years", Table1[[#This Row],[Years_of_Service]]&lt;=5, "3-5 Years", Table1[[#This Row],[Years_of_Service]]&lt;=8, "6-8 Years", TRUE, "8 Years")</f>
        <v>3-5 Years</v>
      </c>
      <c r="L232" s="4" t="s">
        <v>37</v>
      </c>
      <c r="M232" s="4">
        <v>91.9</v>
      </c>
      <c r="N232" s="4">
        <v>99.2</v>
      </c>
      <c r="O232" s="4">
        <v>24</v>
      </c>
      <c r="P232" s="4">
        <v>13</v>
      </c>
      <c r="Q232" s="4" t="s">
        <v>32</v>
      </c>
      <c r="R232" s="5"/>
      <c r="S232" s="4" t="s">
        <v>33</v>
      </c>
    </row>
    <row r="233" spans="1:19" x14ac:dyDescent="0.3">
      <c r="A233" s="4">
        <v>232</v>
      </c>
      <c r="B233" s="4" t="s">
        <v>302</v>
      </c>
      <c r="C233" s="4" t="s">
        <v>28</v>
      </c>
      <c r="D233" s="4">
        <v>29</v>
      </c>
      <c r="E233" s="4" t="str" cm="1">
        <f t="array" ref="E233">_xlfn.IFS(Table1[[#This Row],[Age]]&lt;=30, "18-30",Table1[[#This Row],[Age]]&lt;=40, "31-40", Table1[[#This Row],[Age]]&lt;=50, "41-50", TRUE, "51-65")</f>
        <v>18-30</v>
      </c>
      <c r="F233" s="4" t="s">
        <v>47</v>
      </c>
      <c r="G233" s="4" t="s">
        <v>64</v>
      </c>
      <c r="H233" s="4">
        <v>52000</v>
      </c>
      <c r="I233" s="5">
        <v>44488</v>
      </c>
      <c r="J233" s="4">
        <v>5</v>
      </c>
      <c r="K233" s="4" t="str" cm="1">
        <f t="array" ref="K233">_xlfn.IFS(Table1[[#This Row],[Years_of_Service]]&lt;=2, "0-2 Years", Table1[[#This Row],[Years_of_Service]]&lt;=5, "3-5 Years", Table1[[#This Row],[Years_of_Service]]&lt;=8, "6-8 Years", TRUE, "8 Years")</f>
        <v>3-5 Years</v>
      </c>
      <c r="L233" s="4" t="s">
        <v>49</v>
      </c>
      <c r="M233" s="4">
        <v>61.3</v>
      </c>
      <c r="N233" s="4">
        <v>87.6</v>
      </c>
      <c r="O233" s="4">
        <v>12</v>
      </c>
      <c r="P233" s="4">
        <v>15</v>
      </c>
      <c r="Q233" s="4" t="s">
        <v>32</v>
      </c>
      <c r="R233" s="5"/>
      <c r="S233" s="4" t="s">
        <v>60</v>
      </c>
    </row>
    <row r="234" spans="1:19" x14ac:dyDescent="0.3">
      <c r="A234" s="4">
        <v>233</v>
      </c>
      <c r="B234" s="4" t="s">
        <v>303</v>
      </c>
      <c r="C234" s="4" t="s">
        <v>46</v>
      </c>
      <c r="D234" s="4">
        <v>47</v>
      </c>
      <c r="E234" s="4" t="str" cm="1">
        <f t="array" ref="E234">_xlfn.IFS(Table1[[#This Row],[Age]]&lt;=30, "18-30",Table1[[#This Row],[Age]]&lt;=40, "31-40", Table1[[#This Row],[Age]]&lt;=50, "41-50", TRUE, "51-65")</f>
        <v>41-50</v>
      </c>
      <c r="F234" s="4" t="s">
        <v>85</v>
      </c>
      <c r="G234" s="4" t="s">
        <v>108</v>
      </c>
      <c r="H234" s="4">
        <v>30000</v>
      </c>
      <c r="I234" s="5">
        <v>45002</v>
      </c>
      <c r="J234" s="4">
        <v>3.6</v>
      </c>
      <c r="K234" s="4" t="str" cm="1">
        <f t="array" ref="K234">_xlfn.IFS(Table1[[#This Row],[Years_of_Service]]&lt;=2, "0-2 Years", Table1[[#This Row],[Years_of_Service]]&lt;=5, "3-5 Years", Table1[[#This Row],[Years_of_Service]]&lt;=8, "6-8 Years", TRUE, "8 Years")</f>
        <v>3-5 Years</v>
      </c>
      <c r="L234" s="4" t="s">
        <v>49</v>
      </c>
      <c r="M234" s="4">
        <v>92.8</v>
      </c>
      <c r="N234" s="4">
        <v>83.6</v>
      </c>
      <c r="O234" s="4">
        <v>11</v>
      </c>
      <c r="P234" s="4">
        <v>14</v>
      </c>
      <c r="Q234" s="4" t="s">
        <v>38</v>
      </c>
      <c r="R234" s="5">
        <v>46017</v>
      </c>
      <c r="S234" s="4" t="s">
        <v>75</v>
      </c>
    </row>
    <row r="235" spans="1:19" x14ac:dyDescent="0.3">
      <c r="A235" s="4">
        <v>234</v>
      </c>
      <c r="B235" s="4" t="s">
        <v>304</v>
      </c>
      <c r="C235" s="4" t="s">
        <v>28</v>
      </c>
      <c r="D235" s="4">
        <v>26</v>
      </c>
      <c r="E235" s="4" t="str" cm="1">
        <f t="array" ref="E235">_xlfn.IFS(Table1[[#This Row],[Age]]&lt;=30, "18-30",Table1[[#This Row],[Age]]&lt;=40, "31-40", Table1[[#This Row],[Age]]&lt;=50, "41-50", TRUE, "51-65")</f>
        <v>18-30</v>
      </c>
      <c r="F235" s="4" t="s">
        <v>47</v>
      </c>
      <c r="G235" s="4" t="s">
        <v>64</v>
      </c>
      <c r="H235" s="4">
        <v>49000</v>
      </c>
      <c r="I235" s="5">
        <v>45343</v>
      </c>
      <c r="J235" s="4">
        <v>2.6</v>
      </c>
      <c r="K235" s="4" t="str" cm="1">
        <f t="array" ref="K235">_xlfn.IFS(Table1[[#This Row],[Years_of_Service]]&lt;=2, "0-2 Years", Table1[[#This Row],[Years_of_Service]]&lt;=5, "3-5 Years", Table1[[#This Row],[Years_of_Service]]&lt;=8, "6-8 Years", TRUE, "8 Years")</f>
        <v>3-5 Years</v>
      </c>
      <c r="L235" s="4" t="s">
        <v>31</v>
      </c>
      <c r="M235" s="4">
        <v>82.3</v>
      </c>
      <c r="N235" s="4">
        <v>94.2</v>
      </c>
      <c r="O235" s="4">
        <v>12</v>
      </c>
      <c r="P235" s="4">
        <v>6</v>
      </c>
      <c r="Q235" s="4" t="s">
        <v>32</v>
      </c>
      <c r="R235" s="5"/>
      <c r="S235" s="4" t="s">
        <v>75</v>
      </c>
    </row>
    <row r="236" spans="1:19" x14ac:dyDescent="0.3">
      <c r="A236" s="4">
        <v>235</v>
      </c>
      <c r="B236" s="4" t="s">
        <v>305</v>
      </c>
      <c r="C236" s="4" t="s">
        <v>46</v>
      </c>
      <c r="D236" s="4">
        <v>38</v>
      </c>
      <c r="E236" s="4" t="str" cm="1">
        <f t="array" ref="E236">_xlfn.IFS(Table1[[#This Row],[Age]]&lt;=30, "18-30",Table1[[#This Row],[Age]]&lt;=40, "31-40", Table1[[#This Row],[Age]]&lt;=50, "41-50", TRUE, "51-65")</f>
        <v>31-40</v>
      </c>
      <c r="F236" s="4" t="s">
        <v>41</v>
      </c>
      <c r="G236" s="4" t="s">
        <v>42</v>
      </c>
      <c r="H236" s="4">
        <v>39000</v>
      </c>
      <c r="I236" s="5">
        <v>44788</v>
      </c>
      <c r="J236" s="4">
        <v>4.0999999999999996</v>
      </c>
      <c r="K236" s="4" t="str" cm="1">
        <f t="array" ref="K236">_xlfn.IFS(Table1[[#This Row],[Years_of_Service]]&lt;=2, "0-2 Years", Table1[[#This Row],[Years_of_Service]]&lt;=5, "3-5 Years", Table1[[#This Row],[Years_of_Service]]&lt;=8, "6-8 Years", TRUE, "8 Years")</f>
        <v>3-5 Years</v>
      </c>
      <c r="L236" s="4" t="s">
        <v>98</v>
      </c>
      <c r="M236" s="4">
        <v>79.900000000000006</v>
      </c>
      <c r="N236" s="4">
        <v>91.9</v>
      </c>
      <c r="O236" s="4">
        <v>21</v>
      </c>
      <c r="P236" s="4">
        <v>1</v>
      </c>
      <c r="Q236" s="4" t="s">
        <v>32</v>
      </c>
      <c r="R236" s="5"/>
      <c r="S236" s="4" t="s">
        <v>33</v>
      </c>
    </row>
    <row r="237" spans="1:19" x14ac:dyDescent="0.3">
      <c r="A237" s="4">
        <v>236</v>
      </c>
      <c r="B237" s="4" t="s">
        <v>306</v>
      </c>
      <c r="C237" s="4" t="s">
        <v>28</v>
      </c>
      <c r="D237" s="4">
        <v>28</v>
      </c>
      <c r="E237" s="4" t="str" cm="1">
        <f t="array" ref="E237">_xlfn.IFS(Table1[[#This Row],[Age]]&lt;=30, "18-30",Table1[[#This Row],[Age]]&lt;=40, "31-40", Table1[[#This Row],[Age]]&lt;=50, "41-50", TRUE, "51-65")</f>
        <v>18-30</v>
      </c>
      <c r="F237" s="4" t="s">
        <v>35</v>
      </c>
      <c r="G237" s="4" t="s">
        <v>81</v>
      </c>
      <c r="H237" s="4">
        <v>45000</v>
      </c>
      <c r="I237" s="5">
        <v>44113</v>
      </c>
      <c r="J237" s="4">
        <v>6</v>
      </c>
      <c r="K237" s="4" t="str" cm="1">
        <f t="array" ref="K237">_xlfn.IFS(Table1[[#This Row],[Years_of_Service]]&lt;=2, "0-2 Years", Table1[[#This Row],[Years_of_Service]]&lt;=5, "3-5 Years", Table1[[#This Row],[Years_of_Service]]&lt;=8, "6-8 Years", TRUE, "8 Years")</f>
        <v>6-8 Years</v>
      </c>
      <c r="L237" s="4" t="s">
        <v>37</v>
      </c>
      <c r="M237" s="4">
        <v>74</v>
      </c>
      <c r="N237" s="4">
        <v>82</v>
      </c>
      <c r="O237" s="4">
        <v>22</v>
      </c>
      <c r="P237" s="4">
        <v>4</v>
      </c>
      <c r="Q237" s="4" t="s">
        <v>32</v>
      </c>
      <c r="R237" s="5"/>
      <c r="S237" s="4" t="s">
        <v>39</v>
      </c>
    </row>
    <row r="238" spans="1:19" x14ac:dyDescent="0.3">
      <c r="A238" s="4">
        <v>237</v>
      </c>
      <c r="B238" s="4" t="s">
        <v>307</v>
      </c>
      <c r="C238" s="4" t="s">
        <v>28</v>
      </c>
      <c r="D238" s="4">
        <v>44</v>
      </c>
      <c r="E238" s="4" t="str" cm="1">
        <f t="array" ref="E238">_xlfn.IFS(Table1[[#This Row],[Age]]&lt;=30, "18-30",Table1[[#This Row],[Age]]&lt;=40, "31-40", Table1[[#This Row],[Age]]&lt;=50, "41-50", TRUE, "51-65")</f>
        <v>41-50</v>
      </c>
      <c r="F238" s="4" t="s">
        <v>51</v>
      </c>
      <c r="G238" s="4" t="s">
        <v>55</v>
      </c>
      <c r="H238" s="4">
        <v>53000</v>
      </c>
      <c r="I238" s="5">
        <v>44491</v>
      </c>
      <c r="J238" s="4">
        <v>5</v>
      </c>
      <c r="K238" s="4" t="str" cm="1">
        <f t="array" ref="K238">_xlfn.IFS(Table1[[#This Row],[Years_of_Service]]&lt;=2, "0-2 Years", Table1[[#This Row],[Years_of_Service]]&lt;=5, "3-5 Years", Table1[[#This Row],[Years_of_Service]]&lt;=8, "6-8 Years", TRUE, "8 Years")</f>
        <v>3-5 Years</v>
      </c>
      <c r="L238" s="4" t="s">
        <v>49</v>
      </c>
      <c r="M238" s="4">
        <v>82.9</v>
      </c>
      <c r="N238" s="4">
        <v>82.9</v>
      </c>
      <c r="O238" s="4">
        <v>22</v>
      </c>
      <c r="P238" s="4">
        <v>7</v>
      </c>
      <c r="Q238" s="4" t="s">
        <v>32</v>
      </c>
      <c r="R238" s="5"/>
      <c r="S238" s="4" t="s">
        <v>75</v>
      </c>
    </row>
    <row r="239" spans="1:19" x14ac:dyDescent="0.3">
      <c r="A239" s="4">
        <v>238</v>
      </c>
      <c r="B239" s="4" t="s">
        <v>308</v>
      </c>
      <c r="C239" s="4" t="s">
        <v>28</v>
      </c>
      <c r="D239" s="4">
        <v>21</v>
      </c>
      <c r="E239" s="4" t="str" cm="1">
        <f t="array" ref="E239">_xlfn.IFS(Table1[[#This Row],[Age]]&lt;=30, "18-30",Table1[[#This Row],[Age]]&lt;=40, "31-40", Table1[[#This Row],[Age]]&lt;=50, "41-50", TRUE, "51-65")</f>
        <v>18-30</v>
      </c>
      <c r="F239" s="4" t="s">
        <v>29</v>
      </c>
      <c r="G239" s="4" t="s">
        <v>30</v>
      </c>
      <c r="H239" s="4">
        <v>53000</v>
      </c>
      <c r="I239" s="5">
        <v>44340</v>
      </c>
      <c r="J239" s="4">
        <v>5.4</v>
      </c>
      <c r="K239" s="4" t="str" cm="1">
        <f t="array" ref="K239">_xlfn.IFS(Table1[[#This Row],[Years_of_Service]]&lt;=2, "0-2 Years", Table1[[#This Row],[Years_of_Service]]&lt;=5, "3-5 Years", Table1[[#This Row],[Years_of_Service]]&lt;=8, "6-8 Years", TRUE, "8 Years")</f>
        <v>6-8 Years</v>
      </c>
      <c r="L239" s="4" t="s">
        <v>31</v>
      </c>
      <c r="M239" s="4">
        <v>75.5</v>
      </c>
      <c r="N239" s="4">
        <v>84.3</v>
      </c>
      <c r="O239" s="4">
        <v>21</v>
      </c>
      <c r="P239" s="4">
        <v>14</v>
      </c>
      <c r="Q239" s="4" t="s">
        <v>32</v>
      </c>
      <c r="R239" s="5"/>
      <c r="S239" s="4" t="s">
        <v>33</v>
      </c>
    </row>
    <row r="240" spans="1:19" x14ac:dyDescent="0.3">
      <c r="A240" s="4">
        <v>239</v>
      </c>
      <c r="B240" s="4" t="s">
        <v>309</v>
      </c>
      <c r="C240" s="4" t="s">
        <v>28</v>
      </c>
      <c r="D240" s="4">
        <v>48</v>
      </c>
      <c r="E240" s="4" t="str" cm="1">
        <f t="array" ref="E240">_xlfn.IFS(Table1[[#This Row],[Age]]&lt;=30, "18-30",Table1[[#This Row],[Age]]&lt;=40, "31-40", Table1[[#This Row],[Age]]&lt;=50, "41-50", TRUE, "51-65")</f>
        <v>41-50</v>
      </c>
      <c r="F240" s="4" t="s">
        <v>35</v>
      </c>
      <c r="G240" s="4" t="s">
        <v>101</v>
      </c>
      <c r="H240" s="4">
        <v>46000</v>
      </c>
      <c r="I240" s="5">
        <v>44007</v>
      </c>
      <c r="J240" s="4">
        <v>6.3</v>
      </c>
      <c r="K240" s="4" t="str" cm="1">
        <f t="array" ref="K240">_xlfn.IFS(Table1[[#This Row],[Years_of_Service]]&lt;=2, "0-2 Years", Table1[[#This Row],[Years_of_Service]]&lt;=5, "3-5 Years", Table1[[#This Row],[Years_of_Service]]&lt;=8, "6-8 Years", TRUE, "8 Years")</f>
        <v>6-8 Years</v>
      </c>
      <c r="L240" s="4" t="s">
        <v>98</v>
      </c>
      <c r="M240" s="4">
        <v>58.8</v>
      </c>
      <c r="N240" s="4">
        <v>96.1</v>
      </c>
      <c r="O240" s="4">
        <v>11</v>
      </c>
      <c r="P240" s="4">
        <v>9</v>
      </c>
      <c r="Q240" s="4" t="s">
        <v>32</v>
      </c>
      <c r="R240" s="5"/>
      <c r="S240" s="4" t="s">
        <v>60</v>
      </c>
    </row>
    <row r="241" spans="1:19" x14ac:dyDescent="0.3">
      <c r="A241" s="4">
        <v>240</v>
      </c>
      <c r="B241" s="4" t="s">
        <v>310</v>
      </c>
      <c r="C241" s="4" t="s">
        <v>28</v>
      </c>
      <c r="D241" s="4">
        <v>25</v>
      </c>
      <c r="E241" s="4" t="str" cm="1">
        <f t="array" ref="E241">_xlfn.IFS(Table1[[#This Row],[Age]]&lt;=30, "18-30",Table1[[#This Row],[Age]]&lt;=40, "31-40", Table1[[#This Row],[Age]]&lt;=50, "41-50", TRUE, "51-65")</f>
        <v>18-30</v>
      </c>
      <c r="F241" s="4" t="s">
        <v>58</v>
      </c>
      <c r="G241" s="4" t="s">
        <v>136</v>
      </c>
      <c r="H241" s="4">
        <v>53000</v>
      </c>
      <c r="I241" s="5">
        <v>45638</v>
      </c>
      <c r="J241" s="4">
        <v>1.8</v>
      </c>
      <c r="K241" s="4" t="str" cm="1">
        <f t="array" ref="K241">_xlfn.IFS(Table1[[#This Row],[Years_of_Service]]&lt;=2, "0-2 Years", Table1[[#This Row],[Years_of_Service]]&lt;=5, "3-5 Years", Table1[[#This Row],[Years_of_Service]]&lt;=8, "6-8 Years", TRUE, "8 Years")</f>
        <v>0-2 Years</v>
      </c>
      <c r="L241" s="4" t="s">
        <v>53</v>
      </c>
      <c r="M241" s="4">
        <v>79.2</v>
      </c>
      <c r="N241" s="4">
        <v>92.7</v>
      </c>
      <c r="O241" s="4">
        <v>11</v>
      </c>
      <c r="P241" s="4">
        <v>6</v>
      </c>
      <c r="Q241" s="4" t="s">
        <v>32</v>
      </c>
      <c r="R241" s="5"/>
      <c r="S241" s="4" t="s">
        <v>60</v>
      </c>
    </row>
    <row r="242" spans="1:19" x14ac:dyDescent="0.3">
      <c r="A242" s="4">
        <v>241</v>
      </c>
      <c r="B242" s="4" t="s">
        <v>311</v>
      </c>
      <c r="C242" s="4" t="s">
        <v>46</v>
      </c>
      <c r="D242" s="4">
        <v>34</v>
      </c>
      <c r="E242" s="4" t="str" cm="1">
        <f t="array" ref="E242">_xlfn.IFS(Table1[[#This Row],[Age]]&lt;=30, "18-30",Table1[[#This Row],[Age]]&lt;=40, "31-40", Table1[[#This Row],[Age]]&lt;=50, "41-50", TRUE, "51-65")</f>
        <v>31-40</v>
      </c>
      <c r="F242" s="4" t="s">
        <v>58</v>
      </c>
      <c r="G242" s="4" t="s">
        <v>78</v>
      </c>
      <c r="H242" s="4">
        <v>57000</v>
      </c>
      <c r="I242" s="5">
        <v>43821</v>
      </c>
      <c r="J242" s="4">
        <v>6.8</v>
      </c>
      <c r="K242" s="4" t="str" cm="1">
        <f t="array" ref="K242">_xlfn.IFS(Table1[[#This Row],[Years_of_Service]]&lt;=2, "0-2 Years", Table1[[#This Row],[Years_of_Service]]&lt;=5, "3-5 Years", Table1[[#This Row],[Years_of_Service]]&lt;=8, "6-8 Years", TRUE, "8 Years")</f>
        <v>6-8 Years</v>
      </c>
      <c r="L242" s="4" t="s">
        <v>53</v>
      </c>
      <c r="M242" s="4">
        <v>60.3</v>
      </c>
      <c r="N242" s="4">
        <v>94.8</v>
      </c>
      <c r="O242" s="4">
        <v>10</v>
      </c>
      <c r="P242" s="4">
        <v>4</v>
      </c>
      <c r="Q242" s="4" t="s">
        <v>32</v>
      </c>
      <c r="R242" s="5"/>
      <c r="S242" s="4" t="s">
        <v>60</v>
      </c>
    </row>
    <row r="243" spans="1:19" x14ac:dyDescent="0.3">
      <c r="A243" s="4">
        <v>242</v>
      </c>
      <c r="B243" s="4" t="s">
        <v>312</v>
      </c>
      <c r="C243" s="4" t="s">
        <v>28</v>
      </c>
      <c r="D243" s="4">
        <v>36</v>
      </c>
      <c r="E243" s="4" t="str" cm="1">
        <f t="array" ref="E243">_xlfn.IFS(Table1[[#This Row],[Age]]&lt;=30, "18-30",Table1[[#This Row],[Age]]&lt;=40, "31-40", Table1[[#This Row],[Age]]&lt;=50, "41-50", TRUE, "51-65")</f>
        <v>31-40</v>
      </c>
      <c r="F243" s="4" t="s">
        <v>47</v>
      </c>
      <c r="G243" s="4" t="s">
        <v>64</v>
      </c>
      <c r="H243" s="4">
        <v>41000</v>
      </c>
      <c r="I243" s="5">
        <v>45732</v>
      </c>
      <c r="J243" s="4">
        <v>1.6</v>
      </c>
      <c r="K243" s="4" t="str" cm="1">
        <f t="array" ref="K243">_xlfn.IFS(Table1[[#This Row],[Years_of_Service]]&lt;=2, "0-2 Years", Table1[[#This Row],[Years_of_Service]]&lt;=5, "3-5 Years", Table1[[#This Row],[Years_of_Service]]&lt;=8, "6-8 Years", TRUE, "8 Years")</f>
        <v>0-2 Years</v>
      </c>
      <c r="L243" s="4" t="s">
        <v>49</v>
      </c>
      <c r="M243" s="4">
        <v>80.8</v>
      </c>
      <c r="N243" s="4">
        <v>94.6</v>
      </c>
      <c r="O243" s="4">
        <v>0</v>
      </c>
      <c r="P243" s="4">
        <v>9</v>
      </c>
      <c r="Q243" s="4" t="s">
        <v>32</v>
      </c>
      <c r="R243" s="5"/>
      <c r="S243" s="4" t="s">
        <v>60</v>
      </c>
    </row>
    <row r="244" spans="1:19" x14ac:dyDescent="0.3">
      <c r="A244" s="4">
        <v>243</v>
      </c>
      <c r="B244" s="4" t="s">
        <v>313</v>
      </c>
      <c r="C244" s="4" t="s">
        <v>28</v>
      </c>
      <c r="D244" s="4">
        <v>46</v>
      </c>
      <c r="E244" s="4" t="str" cm="1">
        <f t="array" ref="E244">_xlfn.IFS(Table1[[#This Row],[Age]]&lt;=30, "18-30",Table1[[#This Row],[Age]]&lt;=40, "31-40", Table1[[#This Row],[Age]]&lt;=50, "41-50", TRUE, "51-65")</f>
        <v>41-50</v>
      </c>
      <c r="F244" s="4" t="s">
        <v>85</v>
      </c>
      <c r="G244" s="4" t="s">
        <v>108</v>
      </c>
      <c r="H244" s="4">
        <v>32000</v>
      </c>
      <c r="I244" s="5">
        <v>44676</v>
      </c>
      <c r="J244" s="4">
        <v>4.5</v>
      </c>
      <c r="K244" s="4" t="str" cm="1">
        <f t="array" ref="K244">_xlfn.IFS(Table1[[#This Row],[Years_of_Service]]&lt;=2, "0-2 Years", Table1[[#This Row],[Years_of_Service]]&lt;=5, "3-5 Years", Table1[[#This Row],[Years_of_Service]]&lt;=8, "6-8 Years", TRUE, "8 Years")</f>
        <v>3-5 Years</v>
      </c>
      <c r="L244" s="4" t="s">
        <v>43</v>
      </c>
      <c r="M244" s="4">
        <v>89.1</v>
      </c>
      <c r="N244" s="4">
        <v>86.2</v>
      </c>
      <c r="O244" s="4">
        <v>7</v>
      </c>
      <c r="P244" s="4">
        <v>15</v>
      </c>
      <c r="Q244" s="4" t="s">
        <v>32</v>
      </c>
      <c r="R244" s="5"/>
      <c r="S244" s="4" t="s">
        <v>44</v>
      </c>
    </row>
    <row r="245" spans="1:19" x14ac:dyDescent="0.3">
      <c r="A245" s="4">
        <v>244</v>
      </c>
      <c r="B245" s="4" t="s">
        <v>314</v>
      </c>
      <c r="C245" s="4" t="s">
        <v>46</v>
      </c>
      <c r="D245" s="4">
        <v>41</v>
      </c>
      <c r="E245" s="4" t="str" cm="1">
        <f t="array" ref="E245">_xlfn.IFS(Table1[[#This Row],[Age]]&lt;=30, "18-30",Table1[[#This Row],[Age]]&lt;=40, "31-40", Table1[[#This Row],[Age]]&lt;=50, "41-50", TRUE, "51-65")</f>
        <v>41-50</v>
      </c>
      <c r="F245" s="4" t="s">
        <v>35</v>
      </c>
      <c r="G245" s="4" t="s">
        <v>69</v>
      </c>
      <c r="H245" s="4">
        <v>38000</v>
      </c>
      <c r="I245" s="5">
        <v>44006</v>
      </c>
      <c r="J245" s="4">
        <v>6.3</v>
      </c>
      <c r="K245" s="4" t="str" cm="1">
        <f t="array" ref="K245">_xlfn.IFS(Table1[[#This Row],[Years_of_Service]]&lt;=2, "0-2 Years", Table1[[#This Row],[Years_of_Service]]&lt;=5, "3-5 Years", Table1[[#This Row],[Years_of_Service]]&lt;=8, "6-8 Years", TRUE, "8 Years")</f>
        <v>6-8 Years</v>
      </c>
      <c r="L245" s="4" t="s">
        <v>98</v>
      </c>
      <c r="M245" s="4">
        <v>71.599999999999994</v>
      </c>
      <c r="N245" s="4">
        <v>96.7</v>
      </c>
      <c r="O245" s="4">
        <v>17</v>
      </c>
      <c r="P245" s="4">
        <v>5</v>
      </c>
      <c r="Q245" s="4" t="s">
        <v>32</v>
      </c>
      <c r="R245" s="5"/>
      <c r="S245" s="4" t="s">
        <v>75</v>
      </c>
    </row>
    <row r="246" spans="1:19" x14ac:dyDescent="0.3">
      <c r="A246" s="4">
        <v>245</v>
      </c>
      <c r="B246" s="4" t="s">
        <v>315</v>
      </c>
      <c r="C246" s="4" t="s">
        <v>28</v>
      </c>
      <c r="D246" s="4">
        <v>58</v>
      </c>
      <c r="E246" s="4" t="str" cm="1">
        <f t="array" ref="E246">_xlfn.IFS(Table1[[#This Row],[Age]]&lt;=30, "18-30",Table1[[#This Row],[Age]]&lt;=40, "31-40", Table1[[#This Row],[Age]]&lt;=50, "41-50", TRUE, "51-65")</f>
        <v>51-65</v>
      </c>
      <c r="F246" s="4" t="s">
        <v>41</v>
      </c>
      <c r="G246" s="4" t="s">
        <v>42</v>
      </c>
      <c r="H246" s="4">
        <v>41000</v>
      </c>
      <c r="I246" s="5">
        <v>43742</v>
      </c>
      <c r="J246" s="4">
        <v>7</v>
      </c>
      <c r="K246" s="4" t="str" cm="1">
        <f t="array" ref="K246">_xlfn.IFS(Table1[[#This Row],[Years_of_Service]]&lt;=2, "0-2 Years", Table1[[#This Row],[Years_of_Service]]&lt;=5, "3-5 Years", Table1[[#This Row],[Years_of_Service]]&lt;=8, "6-8 Years", TRUE, "8 Years")</f>
        <v>6-8 Years</v>
      </c>
      <c r="L246" s="4" t="s">
        <v>31</v>
      </c>
      <c r="M246" s="4">
        <v>94.7</v>
      </c>
      <c r="N246" s="4">
        <v>98.6</v>
      </c>
      <c r="O246" s="4">
        <v>9</v>
      </c>
      <c r="P246" s="4">
        <v>16</v>
      </c>
      <c r="Q246" s="4" t="s">
        <v>32</v>
      </c>
      <c r="R246" s="5"/>
      <c r="S246" s="4" t="s">
        <v>75</v>
      </c>
    </row>
    <row r="247" spans="1:19" x14ac:dyDescent="0.3">
      <c r="A247" s="4">
        <v>246</v>
      </c>
      <c r="B247" s="4" t="s">
        <v>316</v>
      </c>
      <c r="C247" s="4" t="s">
        <v>46</v>
      </c>
      <c r="D247" s="4">
        <v>26</v>
      </c>
      <c r="E247" s="4" t="str" cm="1">
        <f t="array" ref="E247">_xlfn.IFS(Table1[[#This Row],[Age]]&lt;=30, "18-30",Table1[[#This Row],[Age]]&lt;=40, "31-40", Table1[[#This Row],[Age]]&lt;=50, "41-50", TRUE, "51-65")</f>
        <v>18-30</v>
      </c>
      <c r="F247" s="4" t="s">
        <v>58</v>
      </c>
      <c r="G247" s="4" t="s">
        <v>78</v>
      </c>
      <c r="H247" s="4">
        <v>52000</v>
      </c>
      <c r="I247" s="5">
        <v>46089</v>
      </c>
      <c r="J247" s="4">
        <v>0.6</v>
      </c>
      <c r="K247" s="4" t="str" cm="1">
        <f t="array" ref="K247">_xlfn.IFS(Table1[[#This Row],[Years_of_Service]]&lt;=2, "0-2 Years", Table1[[#This Row],[Years_of_Service]]&lt;=5, "3-5 Years", Table1[[#This Row],[Years_of_Service]]&lt;=8, "6-8 Years", TRUE, "8 Years")</f>
        <v>0-2 Years</v>
      </c>
      <c r="L247" s="4" t="s">
        <v>43</v>
      </c>
      <c r="M247" s="4">
        <v>78.099999999999994</v>
      </c>
      <c r="N247" s="4">
        <v>92.8</v>
      </c>
      <c r="O247" s="4">
        <v>9</v>
      </c>
      <c r="P247" s="4">
        <v>2</v>
      </c>
      <c r="Q247" s="4" t="s">
        <v>32</v>
      </c>
      <c r="R247" s="5"/>
      <c r="S247" s="4" t="s">
        <v>44</v>
      </c>
    </row>
    <row r="248" spans="1:19" x14ac:dyDescent="0.3">
      <c r="A248" s="4">
        <v>247</v>
      </c>
      <c r="B248" s="4" t="s">
        <v>317</v>
      </c>
      <c r="C248" s="4" t="s">
        <v>46</v>
      </c>
      <c r="D248" s="4">
        <v>46</v>
      </c>
      <c r="E248" s="4" t="str" cm="1">
        <f t="array" ref="E248">_xlfn.IFS(Table1[[#This Row],[Age]]&lt;=30, "18-30",Table1[[#This Row],[Age]]&lt;=40, "31-40", Table1[[#This Row],[Age]]&lt;=50, "41-50", TRUE, "51-65")</f>
        <v>41-50</v>
      </c>
      <c r="F248" s="4" t="s">
        <v>51</v>
      </c>
      <c r="G248" s="4" t="s">
        <v>73</v>
      </c>
      <c r="H248" s="4">
        <v>30000</v>
      </c>
      <c r="I248" s="5">
        <v>45868</v>
      </c>
      <c r="J248" s="4">
        <v>1.2</v>
      </c>
      <c r="K248" s="4" t="str" cm="1">
        <f t="array" ref="K248">_xlfn.IFS(Table1[[#This Row],[Years_of_Service]]&lt;=2, "0-2 Years", Table1[[#This Row],[Years_of_Service]]&lt;=5, "3-5 Years", Table1[[#This Row],[Years_of_Service]]&lt;=8, "6-8 Years", TRUE, "8 Years")</f>
        <v>0-2 Years</v>
      </c>
      <c r="L248" s="4" t="s">
        <v>49</v>
      </c>
      <c r="M248" s="4">
        <v>84.3</v>
      </c>
      <c r="N248" s="4">
        <v>83.2</v>
      </c>
      <c r="O248" s="4">
        <v>7</v>
      </c>
      <c r="P248" s="4">
        <v>1</v>
      </c>
      <c r="Q248" s="4" t="s">
        <v>32</v>
      </c>
      <c r="R248" s="5"/>
      <c r="S248" s="4" t="s">
        <v>60</v>
      </c>
    </row>
    <row r="249" spans="1:19" x14ac:dyDescent="0.3">
      <c r="A249" s="4">
        <v>248</v>
      </c>
      <c r="B249" s="4" t="s">
        <v>318</v>
      </c>
      <c r="C249" s="4" t="s">
        <v>28</v>
      </c>
      <c r="D249" s="4">
        <v>50</v>
      </c>
      <c r="E249" s="4" t="str" cm="1">
        <f t="array" ref="E249">_xlfn.IFS(Table1[[#This Row],[Age]]&lt;=30, "18-30",Table1[[#This Row],[Age]]&lt;=40, "31-40", Table1[[#This Row],[Age]]&lt;=50, "41-50", TRUE, "51-65")</f>
        <v>41-50</v>
      </c>
      <c r="F249" s="4" t="s">
        <v>35</v>
      </c>
      <c r="G249" s="4" t="s">
        <v>81</v>
      </c>
      <c r="H249" s="4">
        <v>37000</v>
      </c>
      <c r="I249" s="5">
        <v>45973</v>
      </c>
      <c r="J249" s="4">
        <v>0.9</v>
      </c>
      <c r="K249" s="4" t="str" cm="1">
        <f t="array" ref="K249">_xlfn.IFS(Table1[[#This Row],[Years_of_Service]]&lt;=2, "0-2 Years", Table1[[#This Row],[Years_of_Service]]&lt;=5, "3-5 Years", Table1[[#This Row],[Years_of_Service]]&lt;=8, "6-8 Years", TRUE, "8 Years")</f>
        <v>0-2 Years</v>
      </c>
      <c r="L249" s="4" t="s">
        <v>43</v>
      </c>
      <c r="M249" s="4">
        <v>81.2</v>
      </c>
      <c r="N249" s="4">
        <v>87.4</v>
      </c>
      <c r="O249" s="4">
        <v>0</v>
      </c>
      <c r="P249" s="4">
        <v>4</v>
      </c>
      <c r="Q249" s="4" t="s">
        <v>32</v>
      </c>
      <c r="R249" s="5"/>
      <c r="S249" s="4" t="s">
        <v>33</v>
      </c>
    </row>
    <row r="250" spans="1:19" x14ac:dyDescent="0.3">
      <c r="A250" s="4">
        <v>249</v>
      </c>
      <c r="B250" s="4" t="s">
        <v>319</v>
      </c>
      <c r="C250" s="4" t="s">
        <v>46</v>
      </c>
      <c r="D250" s="4">
        <v>54</v>
      </c>
      <c r="E250" s="4" t="str" cm="1">
        <f t="array" ref="E250">_xlfn.IFS(Table1[[#This Row],[Age]]&lt;=30, "18-30",Table1[[#This Row],[Age]]&lt;=40, "31-40", Table1[[#This Row],[Age]]&lt;=50, "41-50", TRUE, "51-65")</f>
        <v>51-65</v>
      </c>
      <c r="F250" s="4" t="s">
        <v>51</v>
      </c>
      <c r="G250" s="4" t="s">
        <v>55</v>
      </c>
      <c r="H250" s="4">
        <v>45000</v>
      </c>
      <c r="I250" s="5">
        <v>45584</v>
      </c>
      <c r="J250" s="4">
        <v>2</v>
      </c>
      <c r="K250" s="4" t="str" cm="1">
        <f t="array" ref="K250">_xlfn.IFS(Table1[[#This Row],[Years_of_Service]]&lt;=2, "0-2 Years", Table1[[#This Row],[Years_of_Service]]&lt;=5, "3-5 Years", Table1[[#This Row],[Years_of_Service]]&lt;=8, "6-8 Years", TRUE, "8 Years")</f>
        <v>0-2 Years</v>
      </c>
      <c r="L250" s="4" t="s">
        <v>49</v>
      </c>
      <c r="M250" s="4">
        <v>62.2</v>
      </c>
      <c r="N250" s="4">
        <v>84.2</v>
      </c>
      <c r="O250" s="4">
        <v>3</v>
      </c>
      <c r="P250" s="4">
        <v>0</v>
      </c>
      <c r="Q250" s="4" t="s">
        <v>32</v>
      </c>
      <c r="R250" s="5"/>
      <c r="S250" s="4" t="s">
        <v>39</v>
      </c>
    </row>
    <row r="251" spans="1:19" x14ac:dyDescent="0.3">
      <c r="A251" s="4">
        <v>250</v>
      </c>
      <c r="B251" s="4" t="s">
        <v>320</v>
      </c>
      <c r="C251" s="4" t="s">
        <v>46</v>
      </c>
      <c r="D251" s="4">
        <v>54</v>
      </c>
      <c r="E251" s="4" t="str" cm="1">
        <f t="array" ref="E251">_xlfn.IFS(Table1[[#This Row],[Age]]&lt;=30, "18-30",Table1[[#This Row],[Age]]&lt;=40, "31-40", Table1[[#This Row],[Age]]&lt;=50, "41-50", TRUE, "51-65")</f>
        <v>51-65</v>
      </c>
      <c r="F251" s="4" t="s">
        <v>41</v>
      </c>
      <c r="G251" s="4" t="s">
        <v>96</v>
      </c>
      <c r="H251" s="4">
        <v>23000</v>
      </c>
      <c r="I251" s="5">
        <v>43727</v>
      </c>
      <c r="J251" s="4">
        <v>7</v>
      </c>
      <c r="K251" s="4" t="str" cm="1">
        <f t="array" ref="K251">_xlfn.IFS(Table1[[#This Row],[Years_of_Service]]&lt;=2, "0-2 Years", Table1[[#This Row],[Years_of_Service]]&lt;=5, "3-5 Years", Table1[[#This Row],[Years_of_Service]]&lt;=8, "6-8 Years", TRUE, "8 Years")</f>
        <v>6-8 Years</v>
      </c>
      <c r="L251" s="4" t="s">
        <v>53</v>
      </c>
      <c r="M251" s="4">
        <v>66.3</v>
      </c>
      <c r="N251" s="4">
        <v>99.1</v>
      </c>
      <c r="O251" s="4">
        <v>14</v>
      </c>
      <c r="P251" s="4">
        <v>16</v>
      </c>
      <c r="Q251" s="4" t="s">
        <v>32</v>
      </c>
      <c r="R251" s="5"/>
      <c r="S251" s="4" t="s">
        <v>39</v>
      </c>
    </row>
    <row r="252" spans="1:19" x14ac:dyDescent="0.3">
      <c r="A252" s="4">
        <v>251</v>
      </c>
      <c r="B252" s="4" t="s">
        <v>321</v>
      </c>
      <c r="C252" s="4" t="s">
        <v>28</v>
      </c>
      <c r="D252" s="4">
        <v>44</v>
      </c>
      <c r="E252" s="4" t="str" cm="1">
        <f t="array" ref="E252">_xlfn.IFS(Table1[[#This Row],[Age]]&lt;=30, "18-30",Table1[[#This Row],[Age]]&lt;=40, "31-40", Table1[[#This Row],[Age]]&lt;=50, "41-50", TRUE, "51-65")</f>
        <v>41-50</v>
      </c>
      <c r="F252" s="4" t="s">
        <v>35</v>
      </c>
      <c r="G252" s="4" t="s">
        <v>81</v>
      </c>
      <c r="H252" s="4">
        <v>54000</v>
      </c>
      <c r="I252" s="5">
        <v>44110</v>
      </c>
      <c r="J252" s="4">
        <v>6</v>
      </c>
      <c r="K252" s="4" t="str" cm="1">
        <f t="array" ref="K252">_xlfn.IFS(Table1[[#This Row],[Years_of_Service]]&lt;=2, "0-2 Years", Table1[[#This Row],[Years_of_Service]]&lt;=5, "3-5 Years", Table1[[#This Row],[Years_of_Service]]&lt;=8, "6-8 Years", TRUE, "8 Years")</f>
        <v>6-8 Years</v>
      </c>
      <c r="L252" s="4" t="s">
        <v>49</v>
      </c>
      <c r="M252" s="4">
        <v>79.7</v>
      </c>
      <c r="N252" s="4">
        <v>94.6</v>
      </c>
      <c r="O252" s="4">
        <v>16</v>
      </c>
      <c r="P252" s="4">
        <v>0</v>
      </c>
      <c r="Q252" s="4" t="s">
        <v>32</v>
      </c>
      <c r="R252" s="5"/>
      <c r="S252" s="4" t="s">
        <v>33</v>
      </c>
    </row>
    <row r="253" spans="1:19" x14ac:dyDescent="0.3">
      <c r="A253" s="4">
        <v>252</v>
      </c>
      <c r="B253" s="4" t="s">
        <v>322</v>
      </c>
      <c r="C253" s="4" t="s">
        <v>28</v>
      </c>
      <c r="D253" s="4">
        <v>23</v>
      </c>
      <c r="E253" s="4" t="str" cm="1">
        <f t="array" ref="E253">_xlfn.IFS(Table1[[#This Row],[Age]]&lt;=30, "18-30",Table1[[#This Row],[Age]]&lt;=40, "31-40", Table1[[#This Row],[Age]]&lt;=50, "41-50", TRUE, "51-65")</f>
        <v>18-30</v>
      </c>
      <c r="F253" s="4" t="s">
        <v>41</v>
      </c>
      <c r="G253" s="4" t="s">
        <v>42</v>
      </c>
      <c r="H253" s="4">
        <v>39000</v>
      </c>
      <c r="I253" s="5">
        <v>45398</v>
      </c>
      <c r="J253" s="4">
        <v>2.5</v>
      </c>
      <c r="K253" s="4" t="str" cm="1">
        <f t="array" ref="K253">_xlfn.IFS(Table1[[#This Row],[Years_of_Service]]&lt;=2, "0-2 Years", Table1[[#This Row],[Years_of_Service]]&lt;=5, "3-5 Years", Table1[[#This Row],[Years_of_Service]]&lt;=8, "6-8 Years", TRUE, "8 Years")</f>
        <v>3-5 Years</v>
      </c>
      <c r="L253" s="4" t="s">
        <v>43</v>
      </c>
      <c r="M253" s="4">
        <v>70.7</v>
      </c>
      <c r="N253" s="4">
        <v>98.1</v>
      </c>
      <c r="O253" s="4">
        <v>17</v>
      </c>
      <c r="P253" s="4">
        <v>13</v>
      </c>
      <c r="Q253" s="4" t="s">
        <v>32</v>
      </c>
      <c r="R253" s="5"/>
      <c r="S253" s="4" t="s">
        <v>60</v>
      </c>
    </row>
    <row r="254" spans="1:19" x14ac:dyDescent="0.3">
      <c r="A254" s="4">
        <v>253</v>
      </c>
      <c r="B254" s="4" t="s">
        <v>323</v>
      </c>
      <c r="C254" s="4" t="s">
        <v>46</v>
      </c>
      <c r="D254" s="4">
        <v>41</v>
      </c>
      <c r="E254" s="4" t="str" cm="1">
        <f t="array" ref="E254">_xlfn.IFS(Table1[[#This Row],[Age]]&lt;=30, "18-30",Table1[[#This Row],[Age]]&lt;=40, "31-40", Table1[[#This Row],[Age]]&lt;=50, "41-50", TRUE, "51-65")</f>
        <v>41-50</v>
      </c>
      <c r="F254" s="4" t="s">
        <v>47</v>
      </c>
      <c r="G254" s="4" t="s">
        <v>48</v>
      </c>
      <c r="H254" s="4">
        <v>50000</v>
      </c>
      <c r="I254" s="5">
        <v>44577</v>
      </c>
      <c r="J254" s="4">
        <v>4.7</v>
      </c>
      <c r="K254" s="4" t="str" cm="1">
        <f t="array" ref="K254">_xlfn.IFS(Table1[[#This Row],[Years_of_Service]]&lt;=2, "0-2 Years", Table1[[#This Row],[Years_of_Service]]&lt;=5, "3-5 Years", Table1[[#This Row],[Years_of_Service]]&lt;=8, "6-8 Years", TRUE, "8 Years")</f>
        <v>3-5 Years</v>
      </c>
      <c r="L254" s="4" t="s">
        <v>37</v>
      </c>
      <c r="M254" s="4">
        <v>60.1</v>
      </c>
      <c r="N254" s="4">
        <v>93.8</v>
      </c>
      <c r="O254" s="4">
        <v>7</v>
      </c>
      <c r="P254" s="4">
        <v>16</v>
      </c>
      <c r="Q254" s="4" t="s">
        <v>32</v>
      </c>
      <c r="R254" s="5"/>
      <c r="S254" s="4" t="s">
        <v>33</v>
      </c>
    </row>
    <row r="255" spans="1:19" x14ac:dyDescent="0.3">
      <c r="A255" s="4">
        <v>254</v>
      </c>
      <c r="B255" s="4" t="s">
        <v>324</v>
      </c>
      <c r="C255" s="4" t="s">
        <v>46</v>
      </c>
      <c r="D255" s="4">
        <v>39</v>
      </c>
      <c r="E255" s="4" t="str" cm="1">
        <f t="array" ref="E255">_xlfn.IFS(Table1[[#This Row],[Age]]&lt;=30, "18-30",Table1[[#This Row],[Age]]&lt;=40, "31-40", Table1[[#This Row],[Age]]&lt;=50, "41-50", TRUE, "51-65")</f>
        <v>31-40</v>
      </c>
      <c r="F255" s="4" t="s">
        <v>58</v>
      </c>
      <c r="G255" s="4" t="s">
        <v>136</v>
      </c>
      <c r="H255" s="4">
        <v>38000</v>
      </c>
      <c r="I255" s="5">
        <v>44738</v>
      </c>
      <c r="J255" s="4">
        <v>4.3</v>
      </c>
      <c r="K255" s="4" t="str" cm="1">
        <f t="array" ref="K255">_xlfn.IFS(Table1[[#This Row],[Years_of_Service]]&lt;=2, "0-2 Years", Table1[[#This Row],[Years_of_Service]]&lt;=5, "3-5 Years", Table1[[#This Row],[Years_of_Service]]&lt;=8, "6-8 Years", TRUE, "8 Years")</f>
        <v>3-5 Years</v>
      </c>
      <c r="L255" s="4" t="s">
        <v>98</v>
      </c>
      <c r="M255" s="4">
        <v>69.099999999999994</v>
      </c>
      <c r="N255" s="4">
        <v>91.7</v>
      </c>
      <c r="O255" s="4">
        <v>6</v>
      </c>
      <c r="P255" s="4">
        <v>9</v>
      </c>
      <c r="Q255" s="4" t="s">
        <v>32</v>
      </c>
      <c r="R255" s="5"/>
      <c r="S255" s="4" t="s">
        <v>44</v>
      </c>
    </row>
    <row r="256" spans="1:19" x14ac:dyDescent="0.3">
      <c r="A256" s="4">
        <v>255</v>
      </c>
      <c r="B256" s="4" t="s">
        <v>325</v>
      </c>
      <c r="C256" s="4" t="s">
        <v>28</v>
      </c>
      <c r="D256" s="4">
        <v>50</v>
      </c>
      <c r="E256" s="4" t="str" cm="1">
        <f t="array" ref="E256">_xlfn.IFS(Table1[[#This Row],[Age]]&lt;=30, "18-30",Table1[[#This Row],[Age]]&lt;=40, "31-40", Table1[[#This Row],[Age]]&lt;=50, "41-50", TRUE, "51-65")</f>
        <v>41-50</v>
      </c>
      <c r="F256" s="4" t="s">
        <v>41</v>
      </c>
      <c r="G256" s="4" t="s">
        <v>96</v>
      </c>
      <c r="H256" s="4">
        <v>28000</v>
      </c>
      <c r="I256" s="5">
        <v>44974</v>
      </c>
      <c r="J256" s="4">
        <v>3.6</v>
      </c>
      <c r="K256" s="4" t="str" cm="1">
        <f t="array" ref="K256">_xlfn.IFS(Table1[[#This Row],[Years_of_Service]]&lt;=2, "0-2 Years", Table1[[#This Row],[Years_of_Service]]&lt;=5, "3-5 Years", Table1[[#This Row],[Years_of_Service]]&lt;=8, "6-8 Years", TRUE, "8 Years")</f>
        <v>3-5 Years</v>
      </c>
      <c r="L256" s="4" t="s">
        <v>37</v>
      </c>
      <c r="M256" s="4">
        <v>88.2</v>
      </c>
      <c r="N256" s="4">
        <v>85.4</v>
      </c>
      <c r="O256" s="4">
        <v>0</v>
      </c>
      <c r="P256" s="4">
        <v>13</v>
      </c>
      <c r="Q256" s="4" t="s">
        <v>38</v>
      </c>
      <c r="R256" s="5">
        <v>46050</v>
      </c>
      <c r="S256" s="4" t="s">
        <v>33</v>
      </c>
    </row>
    <row r="257" spans="1:19" x14ac:dyDescent="0.3">
      <c r="A257" s="4">
        <v>256</v>
      </c>
      <c r="B257" s="4" t="s">
        <v>326</v>
      </c>
      <c r="C257" s="4" t="s">
        <v>46</v>
      </c>
      <c r="D257" s="4">
        <v>21</v>
      </c>
      <c r="E257" s="4" t="str" cm="1">
        <f t="array" ref="E257">_xlfn.IFS(Table1[[#This Row],[Age]]&lt;=30, "18-30",Table1[[#This Row],[Age]]&lt;=40, "31-40", Table1[[#This Row],[Age]]&lt;=50, "41-50", TRUE, "51-65")</f>
        <v>18-30</v>
      </c>
      <c r="F257" s="4" t="s">
        <v>51</v>
      </c>
      <c r="G257" s="4" t="s">
        <v>52</v>
      </c>
      <c r="H257" s="4">
        <v>36000</v>
      </c>
      <c r="I257" s="5">
        <v>44838</v>
      </c>
      <c r="J257" s="4">
        <v>4</v>
      </c>
      <c r="K257" s="4" t="str" cm="1">
        <f t="array" ref="K257">_xlfn.IFS(Table1[[#This Row],[Years_of_Service]]&lt;=2, "0-2 Years", Table1[[#This Row],[Years_of_Service]]&lt;=5, "3-5 Years", Table1[[#This Row],[Years_of_Service]]&lt;=8, "6-8 Years", TRUE, "8 Years")</f>
        <v>3-5 Years</v>
      </c>
      <c r="L257" s="4" t="s">
        <v>43</v>
      </c>
      <c r="M257" s="4">
        <v>55.1</v>
      </c>
      <c r="N257" s="4">
        <v>93.5</v>
      </c>
      <c r="O257" s="4">
        <v>6</v>
      </c>
      <c r="P257" s="4">
        <v>16</v>
      </c>
      <c r="Q257" s="4" t="s">
        <v>32</v>
      </c>
      <c r="R257" s="5"/>
      <c r="S257" s="4" t="s">
        <v>60</v>
      </c>
    </row>
    <row r="258" spans="1:19" x14ac:dyDescent="0.3">
      <c r="A258" s="4">
        <v>257</v>
      </c>
      <c r="B258" s="4" t="s">
        <v>327</v>
      </c>
      <c r="C258" s="4" t="s">
        <v>28</v>
      </c>
      <c r="D258" s="4">
        <v>30</v>
      </c>
      <c r="E258" s="4" t="str" cm="1">
        <f t="array" ref="E258">_xlfn.IFS(Table1[[#This Row],[Age]]&lt;=30, "18-30",Table1[[#This Row],[Age]]&lt;=40, "31-40", Table1[[#This Row],[Age]]&lt;=50, "41-50", TRUE, "51-65")</f>
        <v>18-30</v>
      </c>
      <c r="F258" s="4" t="s">
        <v>58</v>
      </c>
      <c r="G258" s="4" t="s">
        <v>59</v>
      </c>
      <c r="H258" s="4">
        <v>73000</v>
      </c>
      <c r="I258" s="5">
        <v>44612</v>
      </c>
      <c r="J258" s="4">
        <v>4.5999999999999996</v>
      </c>
      <c r="K258" s="4" t="str" cm="1">
        <f t="array" ref="K258">_xlfn.IFS(Table1[[#This Row],[Years_of_Service]]&lt;=2, "0-2 Years", Table1[[#This Row],[Years_of_Service]]&lt;=5, "3-5 Years", Table1[[#This Row],[Years_of_Service]]&lt;=8, "6-8 Years", TRUE, "8 Years")</f>
        <v>3-5 Years</v>
      </c>
      <c r="L258" s="4" t="s">
        <v>53</v>
      </c>
      <c r="M258" s="4">
        <v>93.6</v>
      </c>
      <c r="N258" s="4">
        <v>91.1</v>
      </c>
      <c r="O258" s="4">
        <v>23</v>
      </c>
      <c r="P258" s="4">
        <v>2</v>
      </c>
      <c r="Q258" s="4" t="s">
        <v>32</v>
      </c>
      <c r="R258" s="5"/>
      <c r="S258" s="4" t="s">
        <v>44</v>
      </c>
    </row>
    <row r="259" spans="1:19" x14ac:dyDescent="0.3">
      <c r="A259" s="4">
        <v>258</v>
      </c>
      <c r="B259" s="4" t="s">
        <v>328</v>
      </c>
      <c r="C259" s="4" t="s">
        <v>46</v>
      </c>
      <c r="D259" s="4">
        <v>25</v>
      </c>
      <c r="E259" s="4" t="str" cm="1">
        <f t="array" ref="E259">_xlfn.IFS(Table1[[#This Row],[Age]]&lt;=30, "18-30",Table1[[#This Row],[Age]]&lt;=40, "31-40", Table1[[#This Row],[Age]]&lt;=50, "41-50", TRUE, "51-65")</f>
        <v>18-30</v>
      </c>
      <c r="F259" s="4" t="s">
        <v>35</v>
      </c>
      <c r="G259" s="4" t="s">
        <v>36</v>
      </c>
      <c r="H259" s="4">
        <v>70000</v>
      </c>
      <c r="I259" s="5">
        <v>45890</v>
      </c>
      <c r="J259" s="4">
        <v>1.1000000000000001</v>
      </c>
      <c r="K259" s="4" t="str" cm="1">
        <f t="array" ref="K259">_xlfn.IFS(Table1[[#This Row],[Years_of_Service]]&lt;=2, "0-2 Years", Table1[[#This Row],[Years_of_Service]]&lt;=5, "3-5 Years", Table1[[#This Row],[Years_of_Service]]&lt;=8, "6-8 Years", TRUE, "8 Years")</f>
        <v>0-2 Years</v>
      </c>
      <c r="L259" s="4" t="s">
        <v>37</v>
      </c>
      <c r="M259" s="4">
        <v>79.400000000000006</v>
      </c>
      <c r="N259" s="4">
        <v>89.6</v>
      </c>
      <c r="O259" s="4">
        <v>9</v>
      </c>
      <c r="P259" s="4">
        <v>8</v>
      </c>
      <c r="Q259" s="4" t="s">
        <v>32</v>
      </c>
      <c r="R259" s="5"/>
      <c r="S259" s="4" t="s">
        <v>39</v>
      </c>
    </row>
    <row r="260" spans="1:19" x14ac:dyDescent="0.3">
      <c r="A260" s="4">
        <v>259</v>
      </c>
      <c r="B260" s="4" t="s">
        <v>329</v>
      </c>
      <c r="C260" s="4" t="s">
        <v>46</v>
      </c>
      <c r="D260" s="4">
        <v>41</v>
      </c>
      <c r="E260" s="4" t="str" cm="1">
        <f t="array" ref="E260">_xlfn.IFS(Table1[[#This Row],[Age]]&lt;=30, "18-30",Table1[[#This Row],[Age]]&lt;=40, "31-40", Table1[[#This Row],[Age]]&lt;=50, "41-50", TRUE, "51-65")</f>
        <v>41-50</v>
      </c>
      <c r="F260" s="4" t="s">
        <v>41</v>
      </c>
      <c r="G260" s="4" t="s">
        <v>96</v>
      </c>
      <c r="H260" s="4">
        <v>35000</v>
      </c>
      <c r="I260" s="5">
        <v>45320</v>
      </c>
      <c r="J260" s="4">
        <v>2.7</v>
      </c>
      <c r="K260" s="4" t="str" cm="1">
        <f t="array" ref="K260">_xlfn.IFS(Table1[[#This Row],[Years_of_Service]]&lt;=2, "0-2 Years", Table1[[#This Row],[Years_of_Service]]&lt;=5, "3-5 Years", Table1[[#This Row],[Years_of_Service]]&lt;=8, "6-8 Years", TRUE, "8 Years")</f>
        <v>3-5 Years</v>
      </c>
      <c r="L260" s="4" t="s">
        <v>37</v>
      </c>
      <c r="M260" s="4">
        <v>63.7</v>
      </c>
      <c r="N260" s="4">
        <v>95.6</v>
      </c>
      <c r="O260" s="4">
        <v>3</v>
      </c>
      <c r="P260" s="4">
        <v>5</v>
      </c>
      <c r="Q260" s="4" t="s">
        <v>38</v>
      </c>
      <c r="R260" s="5">
        <v>46190</v>
      </c>
      <c r="S260" s="4" t="s">
        <v>75</v>
      </c>
    </row>
    <row r="261" spans="1:19" x14ac:dyDescent="0.3">
      <c r="A261" s="4">
        <v>260</v>
      </c>
      <c r="B261" s="4" t="s">
        <v>330</v>
      </c>
      <c r="C261" s="4" t="s">
        <v>46</v>
      </c>
      <c r="D261" s="4">
        <v>28</v>
      </c>
      <c r="E261" s="4" t="str" cm="1">
        <f t="array" ref="E261">_xlfn.IFS(Table1[[#This Row],[Age]]&lt;=30, "18-30",Table1[[#This Row],[Age]]&lt;=40, "31-40", Table1[[#This Row],[Age]]&lt;=50, "41-50", TRUE, "51-65")</f>
        <v>18-30</v>
      </c>
      <c r="F261" s="4" t="s">
        <v>58</v>
      </c>
      <c r="G261" s="4" t="s">
        <v>59</v>
      </c>
      <c r="H261" s="4">
        <v>56000</v>
      </c>
      <c r="I261" s="5">
        <v>45661</v>
      </c>
      <c r="J261" s="4">
        <v>1.8</v>
      </c>
      <c r="K261" s="4" t="str" cm="1">
        <f t="array" ref="K261">_xlfn.IFS(Table1[[#This Row],[Years_of_Service]]&lt;=2, "0-2 Years", Table1[[#This Row],[Years_of_Service]]&lt;=5, "3-5 Years", Table1[[#This Row],[Years_of_Service]]&lt;=8, "6-8 Years", TRUE, "8 Years")</f>
        <v>0-2 Years</v>
      </c>
      <c r="L261" s="4" t="s">
        <v>98</v>
      </c>
      <c r="M261" s="4">
        <v>70.400000000000006</v>
      </c>
      <c r="N261" s="4">
        <v>95.5</v>
      </c>
      <c r="O261" s="4">
        <v>14</v>
      </c>
      <c r="P261" s="4">
        <v>8</v>
      </c>
      <c r="Q261" s="4" t="s">
        <v>32</v>
      </c>
      <c r="R261" s="5"/>
      <c r="S261" s="4" t="s">
        <v>33</v>
      </c>
    </row>
    <row r="262" spans="1:19" x14ac:dyDescent="0.3">
      <c r="A262" s="4">
        <v>261</v>
      </c>
      <c r="B262" s="4" t="s">
        <v>331</v>
      </c>
      <c r="C262" s="4" t="s">
        <v>46</v>
      </c>
      <c r="D262" s="4">
        <v>23</v>
      </c>
      <c r="E262" s="4" t="str" cm="1">
        <f t="array" ref="E262">_xlfn.IFS(Table1[[#This Row],[Age]]&lt;=30, "18-30",Table1[[#This Row],[Age]]&lt;=40, "31-40", Table1[[#This Row],[Age]]&lt;=50, "41-50", TRUE, "51-65")</f>
        <v>18-30</v>
      </c>
      <c r="F262" s="4" t="s">
        <v>35</v>
      </c>
      <c r="G262" s="4" t="s">
        <v>36</v>
      </c>
      <c r="H262" s="4">
        <v>60000</v>
      </c>
      <c r="I262" s="5">
        <v>44346</v>
      </c>
      <c r="J262" s="4">
        <v>5.4</v>
      </c>
      <c r="K262" s="4" t="str" cm="1">
        <f t="array" ref="K262">_xlfn.IFS(Table1[[#This Row],[Years_of_Service]]&lt;=2, "0-2 Years", Table1[[#This Row],[Years_of_Service]]&lt;=5, "3-5 Years", Table1[[#This Row],[Years_of_Service]]&lt;=8, "6-8 Years", TRUE, "8 Years")</f>
        <v>6-8 Years</v>
      </c>
      <c r="L262" s="4" t="s">
        <v>53</v>
      </c>
      <c r="M262" s="4">
        <v>58.9</v>
      </c>
      <c r="N262" s="4">
        <v>86.3</v>
      </c>
      <c r="O262" s="4">
        <v>16</v>
      </c>
      <c r="P262" s="4">
        <v>1</v>
      </c>
      <c r="Q262" s="4" t="s">
        <v>32</v>
      </c>
      <c r="R262" s="5"/>
      <c r="S262" s="4" t="s">
        <v>39</v>
      </c>
    </row>
    <row r="263" spans="1:19" x14ac:dyDescent="0.3">
      <c r="A263" s="4">
        <v>262</v>
      </c>
      <c r="B263" s="4" t="s">
        <v>332</v>
      </c>
      <c r="C263" s="4" t="s">
        <v>28</v>
      </c>
      <c r="D263" s="4">
        <v>46</v>
      </c>
      <c r="E263" s="4" t="str" cm="1">
        <f t="array" ref="E263">_xlfn.IFS(Table1[[#This Row],[Age]]&lt;=30, "18-30",Table1[[#This Row],[Age]]&lt;=40, "31-40", Table1[[#This Row],[Age]]&lt;=50, "41-50", TRUE, "51-65")</f>
        <v>41-50</v>
      </c>
      <c r="F263" s="4" t="s">
        <v>47</v>
      </c>
      <c r="G263" s="4" t="s">
        <v>48</v>
      </c>
      <c r="H263" s="4">
        <v>37000</v>
      </c>
      <c r="I263" s="5">
        <v>45318</v>
      </c>
      <c r="J263" s="4">
        <v>2.7</v>
      </c>
      <c r="K263" s="4" t="str" cm="1">
        <f t="array" ref="K263">_xlfn.IFS(Table1[[#This Row],[Years_of_Service]]&lt;=2, "0-2 Years", Table1[[#This Row],[Years_of_Service]]&lt;=5, "3-5 Years", Table1[[#This Row],[Years_of_Service]]&lt;=8, "6-8 Years", TRUE, "8 Years")</f>
        <v>3-5 Years</v>
      </c>
      <c r="L263" s="4" t="s">
        <v>53</v>
      </c>
      <c r="M263" s="4">
        <v>78.900000000000006</v>
      </c>
      <c r="N263" s="4">
        <v>91.6</v>
      </c>
      <c r="O263" s="4">
        <v>3</v>
      </c>
      <c r="P263" s="4">
        <v>4</v>
      </c>
      <c r="Q263" s="4" t="s">
        <v>32</v>
      </c>
      <c r="R263" s="5"/>
      <c r="S263" s="4" t="s">
        <v>33</v>
      </c>
    </row>
    <row r="264" spans="1:19" x14ac:dyDescent="0.3">
      <c r="A264" s="4">
        <v>263</v>
      </c>
      <c r="B264" s="4" t="s">
        <v>333</v>
      </c>
      <c r="C264" s="4" t="s">
        <v>28</v>
      </c>
      <c r="D264" s="4">
        <v>29</v>
      </c>
      <c r="E264" s="4" t="str" cm="1">
        <f t="array" ref="E264">_xlfn.IFS(Table1[[#This Row],[Age]]&lt;=30, "18-30",Table1[[#This Row],[Age]]&lt;=40, "31-40", Table1[[#This Row],[Age]]&lt;=50, "41-50", TRUE, "51-65")</f>
        <v>18-30</v>
      </c>
      <c r="F264" s="4" t="s">
        <v>35</v>
      </c>
      <c r="G264" s="4" t="s">
        <v>69</v>
      </c>
      <c r="H264" s="4">
        <v>60000</v>
      </c>
      <c r="I264" s="5">
        <v>44277</v>
      </c>
      <c r="J264" s="4">
        <v>5.5</v>
      </c>
      <c r="K264" s="4" t="str" cm="1">
        <f t="array" ref="K264">_xlfn.IFS(Table1[[#This Row],[Years_of_Service]]&lt;=2, "0-2 Years", Table1[[#This Row],[Years_of_Service]]&lt;=5, "3-5 Years", Table1[[#This Row],[Years_of_Service]]&lt;=8, "6-8 Years", TRUE, "8 Years")</f>
        <v>6-8 Years</v>
      </c>
      <c r="L264" s="4" t="s">
        <v>98</v>
      </c>
      <c r="M264" s="4">
        <v>82.1</v>
      </c>
      <c r="N264" s="4">
        <v>93.3</v>
      </c>
      <c r="O264" s="4">
        <v>2</v>
      </c>
      <c r="P264" s="4">
        <v>0</v>
      </c>
      <c r="Q264" s="4" t="s">
        <v>38</v>
      </c>
      <c r="R264" s="5">
        <v>45701</v>
      </c>
      <c r="S264" s="4" t="s">
        <v>33</v>
      </c>
    </row>
    <row r="265" spans="1:19" x14ac:dyDescent="0.3">
      <c r="A265" s="4">
        <v>264</v>
      </c>
      <c r="B265" s="4" t="s">
        <v>334</v>
      </c>
      <c r="C265" s="4" t="s">
        <v>46</v>
      </c>
      <c r="D265" s="4">
        <v>29</v>
      </c>
      <c r="E265" s="4" t="str" cm="1">
        <f t="array" ref="E265">_xlfn.IFS(Table1[[#This Row],[Age]]&lt;=30, "18-30",Table1[[#This Row],[Age]]&lt;=40, "31-40", Table1[[#This Row],[Age]]&lt;=50, "41-50", TRUE, "51-65")</f>
        <v>18-30</v>
      </c>
      <c r="F265" s="4" t="s">
        <v>51</v>
      </c>
      <c r="G265" s="4" t="s">
        <v>52</v>
      </c>
      <c r="H265" s="4">
        <v>34000</v>
      </c>
      <c r="I265" s="5">
        <v>43842</v>
      </c>
      <c r="J265" s="4">
        <v>6.7</v>
      </c>
      <c r="K265" s="4" t="str" cm="1">
        <f t="array" ref="K265">_xlfn.IFS(Table1[[#This Row],[Years_of_Service]]&lt;=2, "0-2 Years", Table1[[#This Row],[Years_of_Service]]&lt;=5, "3-5 Years", Table1[[#This Row],[Years_of_Service]]&lt;=8, "6-8 Years", TRUE, "8 Years")</f>
        <v>6-8 Years</v>
      </c>
      <c r="L265" s="4" t="s">
        <v>43</v>
      </c>
      <c r="M265" s="4">
        <v>93.9</v>
      </c>
      <c r="N265" s="4">
        <v>96.5</v>
      </c>
      <c r="O265" s="4">
        <v>1</v>
      </c>
      <c r="P265" s="4">
        <v>14</v>
      </c>
      <c r="Q265" s="4" t="s">
        <v>32</v>
      </c>
      <c r="R265" s="5"/>
      <c r="S265" s="4" t="s">
        <v>33</v>
      </c>
    </row>
    <row r="266" spans="1:19" x14ac:dyDescent="0.3">
      <c r="A266" s="4">
        <v>265</v>
      </c>
      <c r="B266" s="4" t="s">
        <v>335</v>
      </c>
      <c r="C266" s="4" t="s">
        <v>46</v>
      </c>
      <c r="D266" s="4">
        <v>46</v>
      </c>
      <c r="E266" s="4" t="str" cm="1">
        <f t="array" ref="E266">_xlfn.IFS(Table1[[#This Row],[Age]]&lt;=30, "18-30",Table1[[#This Row],[Age]]&lt;=40, "31-40", Table1[[#This Row],[Age]]&lt;=50, "41-50", TRUE, "51-65")</f>
        <v>41-50</v>
      </c>
      <c r="F266" s="4" t="s">
        <v>51</v>
      </c>
      <c r="G266" s="4" t="s">
        <v>52</v>
      </c>
      <c r="H266" s="4">
        <v>55000</v>
      </c>
      <c r="I266" s="5">
        <v>45498</v>
      </c>
      <c r="J266" s="4">
        <v>2.2000000000000002</v>
      </c>
      <c r="K266" s="4" t="str" cm="1">
        <f t="array" ref="K266">_xlfn.IFS(Table1[[#This Row],[Years_of_Service]]&lt;=2, "0-2 Years", Table1[[#This Row],[Years_of_Service]]&lt;=5, "3-5 Years", Table1[[#This Row],[Years_of_Service]]&lt;=8, "6-8 Years", TRUE, "8 Years")</f>
        <v>3-5 Years</v>
      </c>
      <c r="L266" s="4" t="s">
        <v>98</v>
      </c>
      <c r="M266" s="4">
        <v>62.4</v>
      </c>
      <c r="N266" s="4">
        <v>85.8</v>
      </c>
      <c r="O266" s="4">
        <v>8</v>
      </c>
      <c r="P266" s="4">
        <v>14</v>
      </c>
      <c r="Q266" s="4" t="s">
        <v>32</v>
      </c>
      <c r="R266" s="5"/>
      <c r="S266" s="4" t="s">
        <v>60</v>
      </c>
    </row>
    <row r="267" spans="1:19" x14ac:dyDescent="0.3">
      <c r="A267" s="4">
        <v>266</v>
      </c>
      <c r="B267" s="4" t="s">
        <v>336</v>
      </c>
      <c r="C267" s="4" t="s">
        <v>46</v>
      </c>
      <c r="D267" s="4">
        <v>52</v>
      </c>
      <c r="E267" s="4" t="str" cm="1">
        <f t="array" ref="E267">_xlfn.IFS(Table1[[#This Row],[Age]]&lt;=30, "18-30",Table1[[#This Row],[Age]]&lt;=40, "31-40", Table1[[#This Row],[Age]]&lt;=50, "41-50", TRUE, "51-65")</f>
        <v>51-65</v>
      </c>
      <c r="F267" s="4" t="s">
        <v>35</v>
      </c>
      <c r="G267" s="4" t="s">
        <v>36</v>
      </c>
      <c r="H267" s="4">
        <v>58000</v>
      </c>
      <c r="I267" s="5">
        <v>45153</v>
      </c>
      <c r="J267" s="4">
        <v>3.1</v>
      </c>
      <c r="K267" s="4" t="str" cm="1">
        <f t="array" ref="K267">_xlfn.IFS(Table1[[#This Row],[Years_of_Service]]&lt;=2, "0-2 Years", Table1[[#This Row],[Years_of_Service]]&lt;=5, "3-5 Years", Table1[[#This Row],[Years_of_Service]]&lt;=8, "6-8 Years", TRUE, "8 Years")</f>
        <v>3-5 Years</v>
      </c>
      <c r="L267" s="4" t="s">
        <v>98</v>
      </c>
      <c r="M267" s="4">
        <v>93</v>
      </c>
      <c r="N267" s="4">
        <v>90.4</v>
      </c>
      <c r="O267" s="4">
        <v>12</v>
      </c>
      <c r="P267" s="4">
        <v>4</v>
      </c>
      <c r="Q267" s="4" t="s">
        <v>32</v>
      </c>
      <c r="R267" s="5"/>
      <c r="S267" s="4" t="s">
        <v>75</v>
      </c>
    </row>
    <row r="268" spans="1:19" x14ac:dyDescent="0.3">
      <c r="A268" s="4">
        <v>267</v>
      </c>
      <c r="B268" s="4" t="s">
        <v>337</v>
      </c>
      <c r="C268" s="4" t="s">
        <v>28</v>
      </c>
      <c r="D268" s="4">
        <v>55</v>
      </c>
      <c r="E268" s="4" t="str" cm="1">
        <f t="array" ref="E268">_xlfn.IFS(Table1[[#This Row],[Age]]&lt;=30, "18-30",Table1[[#This Row],[Age]]&lt;=40, "31-40", Table1[[#This Row],[Age]]&lt;=50, "41-50", TRUE, "51-65")</f>
        <v>51-65</v>
      </c>
      <c r="F268" s="4" t="s">
        <v>51</v>
      </c>
      <c r="G268" s="4" t="s">
        <v>52</v>
      </c>
      <c r="H268" s="4">
        <v>58000</v>
      </c>
      <c r="I268" s="5">
        <v>43545</v>
      </c>
      <c r="J268" s="4">
        <v>7.5</v>
      </c>
      <c r="K268" s="4" t="str" cm="1">
        <f t="array" ref="K268">_xlfn.IFS(Table1[[#This Row],[Years_of_Service]]&lt;=2, "0-2 Years", Table1[[#This Row],[Years_of_Service]]&lt;=5, "3-5 Years", Table1[[#This Row],[Years_of_Service]]&lt;=8, "6-8 Years", TRUE, "8 Years")</f>
        <v>6-8 Years</v>
      </c>
      <c r="L268" s="4" t="s">
        <v>98</v>
      </c>
      <c r="M268" s="4">
        <v>70.400000000000006</v>
      </c>
      <c r="N268" s="4">
        <v>91.5</v>
      </c>
      <c r="O268" s="4">
        <v>18</v>
      </c>
      <c r="P268" s="4">
        <v>16</v>
      </c>
      <c r="Q268" s="4" t="s">
        <v>32</v>
      </c>
      <c r="R268" s="5"/>
      <c r="S268" s="4" t="s">
        <v>39</v>
      </c>
    </row>
    <row r="269" spans="1:19" x14ac:dyDescent="0.3">
      <c r="A269" s="4">
        <v>268</v>
      </c>
      <c r="B269" s="4" t="s">
        <v>338</v>
      </c>
      <c r="C269" s="4" t="s">
        <v>28</v>
      </c>
      <c r="D269" s="4">
        <v>22</v>
      </c>
      <c r="E269" s="4" t="str" cm="1">
        <f t="array" ref="E269">_xlfn.IFS(Table1[[#This Row],[Age]]&lt;=30, "18-30",Table1[[#This Row],[Age]]&lt;=40, "31-40", Table1[[#This Row],[Age]]&lt;=50, "41-50", TRUE, "51-65")</f>
        <v>18-30</v>
      </c>
      <c r="F269" s="4" t="s">
        <v>58</v>
      </c>
      <c r="G269" s="4" t="s">
        <v>59</v>
      </c>
      <c r="H269" s="4">
        <v>50000</v>
      </c>
      <c r="I269" s="5">
        <v>44772</v>
      </c>
      <c r="J269" s="4">
        <v>4.2</v>
      </c>
      <c r="K269" s="4" t="str" cm="1">
        <f t="array" ref="K269">_xlfn.IFS(Table1[[#This Row],[Years_of_Service]]&lt;=2, "0-2 Years", Table1[[#This Row],[Years_of_Service]]&lt;=5, "3-5 Years", Table1[[#This Row],[Years_of_Service]]&lt;=8, "6-8 Years", TRUE, "8 Years")</f>
        <v>3-5 Years</v>
      </c>
      <c r="L269" s="4" t="s">
        <v>43</v>
      </c>
      <c r="M269" s="4">
        <v>80.7</v>
      </c>
      <c r="N269" s="4">
        <v>82.5</v>
      </c>
      <c r="O269" s="4">
        <v>15</v>
      </c>
      <c r="P269" s="4">
        <v>16</v>
      </c>
      <c r="Q269" s="4" t="s">
        <v>32</v>
      </c>
      <c r="R269" s="5"/>
      <c r="S269" s="4" t="s">
        <v>39</v>
      </c>
    </row>
    <row r="270" spans="1:19" x14ac:dyDescent="0.3">
      <c r="A270" s="4">
        <v>269</v>
      </c>
      <c r="B270" s="4" t="s">
        <v>339</v>
      </c>
      <c r="C270" s="4" t="s">
        <v>28</v>
      </c>
      <c r="D270" s="4">
        <v>31</v>
      </c>
      <c r="E270" s="4" t="str" cm="1">
        <f t="array" ref="E270">_xlfn.IFS(Table1[[#This Row],[Age]]&lt;=30, "18-30",Table1[[#This Row],[Age]]&lt;=40, "31-40", Table1[[#This Row],[Age]]&lt;=50, "41-50", TRUE, "51-65")</f>
        <v>31-40</v>
      </c>
      <c r="F270" s="4" t="s">
        <v>41</v>
      </c>
      <c r="G270" s="4" t="s">
        <v>71</v>
      </c>
      <c r="H270" s="4">
        <v>36000</v>
      </c>
      <c r="I270" s="5">
        <v>43876</v>
      </c>
      <c r="J270" s="4">
        <v>6.6</v>
      </c>
      <c r="K270" s="4" t="str" cm="1">
        <f t="array" ref="K270">_xlfn.IFS(Table1[[#This Row],[Years_of_Service]]&lt;=2, "0-2 Years", Table1[[#This Row],[Years_of_Service]]&lt;=5, "3-5 Years", Table1[[#This Row],[Years_of_Service]]&lt;=8, "6-8 Years", TRUE, "8 Years")</f>
        <v>6-8 Years</v>
      </c>
      <c r="L270" s="4" t="s">
        <v>37</v>
      </c>
      <c r="M270" s="4">
        <v>77.900000000000006</v>
      </c>
      <c r="N270" s="4">
        <v>95.8</v>
      </c>
      <c r="O270" s="4">
        <v>18</v>
      </c>
      <c r="P270" s="4">
        <v>12</v>
      </c>
      <c r="Q270" s="4" t="s">
        <v>32</v>
      </c>
      <c r="R270" s="5"/>
      <c r="S270" s="4" t="s">
        <v>39</v>
      </c>
    </row>
    <row r="271" spans="1:19" x14ac:dyDescent="0.3">
      <c r="A271" s="4">
        <v>270</v>
      </c>
      <c r="B271" s="4" t="s">
        <v>340</v>
      </c>
      <c r="C271" s="4" t="s">
        <v>28</v>
      </c>
      <c r="D271" s="4">
        <v>36</v>
      </c>
      <c r="E271" s="4" t="str" cm="1">
        <f t="array" ref="E271">_xlfn.IFS(Table1[[#This Row],[Age]]&lt;=30, "18-30",Table1[[#This Row],[Age]]&lt;=40, "31-40", Table1[[#This Row],[Age]]&lt;=50, "41-50", TRUE, "51-65")</f>
        <v>31-40</v>
      </c>
      <c r="F271" s="4" t="s">
        <v>41</v>
      </c>
      <c r="G271" s="4" t="s">
        <v>42</v>
      </c>
      <c r="H271" s="4">
        <v>41000</v>
      </c>
      <c r="I271" s="5">
        <v>45892</v>
      </c>
      <c r="J271" s="4">
        <v>1.1000000000000001</v>
      </c>
      <c r="K271" s="4" t="str" cm="1">
        <f t="array" ref="K271">_xlfn.IFS(Table1[[#This Row],[Years_of_Service]]&lt;=2, "0-2 Years", Table1[[#This Row],[Years_of_Service]]&lt;=5, "3-5 Years", Table1[[#This Row],[Years_of_Service]]&lt;=8, "6-8 Years", TRUE, "8 Years")</f>
        <v>0-2 Years</v>
      </c>
      <c r="L271" s="4" t="s">
        <v>31</v>
      </c>
      <c r="M271" s="4">
        <v>68.7</v>
      </c>
      <c r="N271" s="4">
        <v>94.9</v>
      </c>
      <c r="O271" s="4">
        <v>0</v>
      </c>
      <c r="P271" s="4">
        <v>11</v>
      </c>
      <c r="Q271" s="4" t="s">
        <v>32</v>
      </c>
      <c r="R271" s="5"/>
      <c r="S271" s="4" t="s">
        <v>44</v>
      </c>
    </row>
    <row r="272" spans="1:19" x14ac:dyDescent="0.3">
      <c r="A272" s="4">
        <v>271</v>
      </c>
      <c r="B272" s="4" t="s">
        <v>341</v>
      </c>
      <c r="C272" s="4" t="s">
        <v>28</v>
      </c>
      <c r="D272" s="4">
        <v>52</v>
      </c>
      <c r="E272" s="4" t="str" cm="1">
        <f t="array" ref="E272">_xlfn.IFS(Table1[[#This Row],[Age]]&lt;=30, "18-30",Table1[[#This Row],[Age]]&lt;=40, "31-40", Table1[[#This Row],[Age]]&lt;=50, "41-50", TRUE, "51-65")</f>
        <v>51-65</v>
      </c>
      <c r="F272" s="4" t="s">
        <v>85</v>
      </c>
      <c r="G272" s="4" t="s">
        <v>103</v>
      </c>
      <c r="H272" s="4">
        <v>39000</v>
      </c>
      <c r="I272" s="5">
        <v>45686</v>
      </c>
      <c r="J272" s="4">
        <v>1.7</v>
      </c>
      <c r="K272" s="4" t="str" cm="1">
        <f t="array" ref="K272">_xlfn.IFS(Table1[[#This Row],[Years_of_Service]]&lt;=2, "0-2 Years", Table1[[#This Row],[Years_of_Service]]&lt;=5, "3-5 Years", Table1[[#This Row],[Years_of_Service]]&lt;=8, "6-8 Years", TRUE, "8 Years")</f>
        <v>0-2 Years</v>
      </c>
      <c r="L272" s="4" t="s">
        <v>43</v>
      </c>
      <c r="M272" s="4">
        <v>58.9</v>
      </c>
      <c r="N272" s="4">
        <v>86.1</v>
      </c>
      <c r="O272" s="4">
        <v>16</v>
      </c>
      <c r="P272" s="4">
        <v>15</v>
      </c>
      <c r="Q272" s="4" t="s">
        <v>32</v>
      </c>
      <c r="R272" s="5"/>
      <c r="S272" s="4" t="s">
        <v>33</v>
      </c>
    </row>
    <row r="273" spans="1:19" x14ac:dyDescent="0.3">
      <c r="A273" s="4">
        <v>272</v>
      </c>
      <c r="B273" s="4" t="s">
        <v>342</v>
      </c>
      <c r="C273" s="4" t="s">
        <v>28</v>
      </c>
      <c r="D273" s="4">
        <v>29</v>
      </c>
      <c r="E273" s="4" t="str" cm="1">
        <f t="array" ref="E273">_xlfn.IFS(Table1[[#This Row],[Age]]&lt;=30, "18-30",Table1[[#This Row],[Age]]&lt;=40, "31-40", Table1[[#This Row],[Age]]&lt;=50, "41-50", TRUE, "51-65")</f>
        <v>18-30</v>
      </c>
      <c r="F273" s="4" t="s">
        <v>47</v>
      </c>
      <c r="G273" s="4" t="s">
        <v>64</v>
      </c>
      <c r="H273" s="4">
        <v>55000</v>
      </c>
      <c r="I273" s="5">
        <v>44861</v>
      </c>
      <c r="J273" s="4">
        <v>3.9</v>
      </c>
      <c r="K273" s="4" t="str" cm="1">
        <f t="array" ref="K273">_xlfn.IFS(Table1[[#This Row],[Years_of_Service]]&lt;=2, "0-2 Years", Table1[[#This Row],[Years_of_Service]]&lt;=5, "3-5 Years", Table1[[#This Row],[Years_of_Service]]&lt;=8, "6-8 Years", TRUE, "8 Years")</f>
        <v>3-5 Years</v>
      </c>
      <c r="L273" s="4" t="s">
        <v>43</v>
      </c>
      <c r="M273" s="4">
        <v>85.8</v>
      </c>
      <c r="N273" s="4">
        <v>98.1</v>
      </c>
      <c r="O273" s="4">
        <v>0</v>
      </c>
      <c r="P273" s="4">
        <v>4</v>
      </c>
      <c r="Q273" s="4" t="s">
        <v>32</v>
      </c>
      <c r="R273" s="5"/>
      <c r="S273" s="4" t="s">
        <v>44</v>
      </c>
    </row>
    <row r="274" spans="1:19" x14ac:dyDescent="0.3">
      <c r="A274" s="4">
        <v>273</v>
      </c>
      <c r="B274" s="4" t="s">
        <v>343</v>
      </c>
      <c r="C274" s="4" t="s">
        <v>28</v>
      </c>
      <c r="D274" s="4">
        <v>54</v>
      </c>
      <c r="E274" s="4" t="str" cm="1">
        <f t="array" ref="E274">_xlfn.IFS(Table1[[#This Row],[Age]]&lt;=30, "18-30",Table1[[#This Row],[Age]]&lt;=40, "31-40", Table1[[#This Row],[Age]]&lt;=50, "41-50", TRUE, "51-65")</f>
        <v>51-65</v>
      </c>
      <c r="F274" s="4" t="s">
        <v>29</v>
      </c>
      <c r="G274" s="4" t="s">
        <v>30</v>
      </c>
      <c r="H274" s="4">
        <v>55000</v>
      </c>
      <c r="I274" s="5">
        <v>44960</v>
      </c>
      <c r="J274" s="4">
        <v>3.7</v>
      </c>
      <c r="K274" s="4" t="str" cm="1">
        <f t="array" ref="K274">_xlfn.IFS(Table1[[#This Row],[Years_of_Service]]&lt;=2, "0-2 Years", Table1[[#This Row],[Years_of_Service]]&lt;=5, "3-5 Years", Table1[[#This Row],[Years_of_Service]]&lt;=8, "6-8 Years", TRUE, "8 Years")</f>
        <v>3-5 Years</v>
      </c>
      <c r="L274" s="4" t="s">
        <v>98</v>
      </c>
      <c r="M274" s="4">
        <v>95.5</v>
      </c>
      <c r="N274" s="4">
        <v>88.9</v>
      </c>
      <c r="O274" s="4">
        <v>9</v>
      </c>
      <c r="P274" s="4">
        <v>10</v>
      </c>
      <c r="Q274" s="4" t="s">
        <v>32</v>
      </c>
      <c r="R274" s="5"/>
      <c r="S274" s="4" t="s">
        <v>60</v>
      </c>
    </row>
    <row r="275" spans="1:19" x14ac:dyDescent="0.3">
      <c r="A275" s="4">
        <v>274</v>
      </c>
      <c r="B275" s="4" t="s">
        <v>344</v>
      </c>
      <c r="C275" s="4" t="s">
        <v>46</v>
      </c>
      <c r="D275" s="4">
        <v>52</v>
      </c>
      <c r="E275" s="4" t="str" cm="1">
        <f t="array" ref="E275">_xlfn.IFS(Table1[[#This Row],[Age]]&lt;=30, "18-30",Table1[[#This Row],[Age]]&lt;=40, "31-40", Table1[[#This Row],[Age]]&lt;=50, "41-50", TRUE, "51-65")</f>
        <v>51-65</v>
      </c>
      <c r="F275" s="4" t="s">
        <v>51</v>
      </c>
      <c r="G275" s="4" t="s">
        <v>52</v>
      </c>
      <c r="H275" s="4">
        <v>39000</v>
      </c>
      <c r="I275" s="5">
        <v>46125</v>
      </c>
      <c r="J275" s="4">
        <v>0.5</v>
      </c>
      <c r="K275" s="4" t="str" cm="1">
        <f t="array" ref="K275">_xlfn.IFS(Table1[[#This Row],[Years_of_Service]]&lt;=2, "0-2 Years", Table1[[#This Row],[Years_of_Service]]&lt;=5, "3-5 Years", Table1[[#This Row],[Years_of_Service]]&lt;=8, "6-8 Years", TRUE, "8 Years")</f>
        <v>0-2 Years</v>
      </c>
      <c r="L275" s="4" t="s">
        <v>49</v>
      </c>
      <c r="M275" s="4">
        <v>68.599999999999994</v>
      </c>
      <c r="N275" s="4">
        <v>94.4</v>
      </c>
      <c r="O275" s="4">
        <v>19</v>
      </c>
      <c r="P275" s="4">
        <v>11</v>
      </c>
      <c r="Q275" s="4" t="s">
        <v>32</v>
      </c>
      <c r="R275" s="5"/>
      <c r="S275" s="4" t="s">
        <v>60</v>
      </c>
    </row>
    <row r="276" spans="1:19" x14ac:dyDescent="0.3">
      <c r="A276" s="4">
        <v>275</v>
      </c>
      <c r="B276" s="4" t="s">
        <v>345</v>
      </c>
      <c r="C276" s="4" t="s">
        <v>28</v>
      </c>
      <c r="D276" s="4">
        <v>45</v>
      </c>
      <c r="E276" s="4" t="str" cm="1">
        <f t="array" ref="E276">_xlfn.IFS(Table1[[#This Row],[Age]]&lt;=30, "18-30",Table1[[#This Row],[Age]]&lt;=40, "31-40", Table1[[#This Row],[Age]]&lt;=50, "41-50", TRUE, "51-65")</f>
        <v>41-50</v>
      </c>
      <c r="F276" s="4" t="s">
        <v>29</v>
      </c>
      <c r="G276" s="4" t="s">
        <v>66</v>
      </c>
      <c r="H276" s="4">
        <v>45000</v>
      </c>
      <c r="I276" s="5">
        <v>44722</v>
      </c>
      <c r="J276" s="4">
        <v>4.3</v>
      </c>
      <c r="K276" s="4" t="str" cm="1">
        <f t="array" ref="K276">_xlfn.IFS(Table1[[#This Row],[Years_of_Service]]&lt;=2, "0-2 Years", Table1[[#This Row],[Years_of_Service]]&lt;=5, "3-5 Years", Table1[[#This Row],[Years_of_Service]]&lt;=8, "6-8 Years", TRUE, "8 Years")</f>
        <v>3-5 Years</v>
      </c>
      <c r="L276" s="4" t="s">
        <v>31</v>
      </c>
      <c r="M276" s="4">
        <v>62.6</v>
      </c>
      <c r="N276" s="4">
        <v>82</v>
      </c>
      <c r="O276" s="4">
        <v>1</v>
      </c>
      <c r="P276" s="4">
        <v>5</v>
      </c>
      <c r="Q276" s="4" t="s">
        <v>38</v>
      </c>
      <c r="R276" s="5">
        <v>45901</v>
      </c>
      <c r="S276" s="4" t="s">
        <v>44</v>
      </c>
    </row>
    <row r="277" spans="1:19" x14ac:dyDescent="0.3">
      <c r="A277" s="4">
        <v>276</v>
      </c>
      <c r="B277" s="4" t="s">
        <v>346</v>
      </c>
      <c r="C277" s="4" t="s">
        <v>28</v>
      </c>
      <c r="D277" s="4">
        <v>57</v>
      </c>
      <c r="E277" s="4" t="str" cm="1">
        <f t="array" ref="E277">_xlfn.IFS(Table1[[#This Row],[Age]]&lt;=30, "18-30",Table1[[#This Row],[Age]]&lt;=40, "31-40", Table1[[#This Row],[Age]]&lt;=50, "41-50", TRUE, "51-65")</f>
        <v>51-65</v>
      </c>
      <c r="F277" s="4" t="s">
        <v>47</v>
      </c>
      <c r="G277" s="4" t="s">
        <v>64</v>
      </c>
      <c r="H277" s="4">
        <v>36000</v>
      </c>
      <c r="I277" s="5">
        <v>43892</v>
      </c>
      <c r="J277" s="4">
        <v>6.6</v>
      </c>
      <c r="K277" s="4" t="str" cm="1">
        <f t="array" ref="K277">_xlfn.IFS(Table1[[#This Row],[Years_of_Service]]&lt;=2, "0-2 Years", Table1[[#This Row],[Years_of_Service]]&lt;=5, "3-5 Years", Table1[[#This Row],[Years_of_Service]]&lt;=8, "6-8 Years", TRUE, "8 Years")</f>
        <v>6-8 Years</v>
      </c>
      <c r="L277" s="4" t="s">
        <v>37</v>
      </c>
      <c r="M277" s="4">
        <v>95.3</v>
      </c>
      <c r="N277" s="4">
        <v>84.5</v>
      </c>
      <c r="O277" s="4">
        <v>11</v>
      </c>
      <c r="P277" s="4">
        <v>10</v>
      </c>
      <c r="Q277" s="4" t="s">
        <v>32</v>
      </c>
      <c r="R277" s="5"/>
      <c r="S277" s="4" t="s">
        <v>60</v>
      </c>
    </row>
    <row r="278" spans="1:19" x14ac:dyDescent="0.3">
      <c r="A278" s="4">
        <v>277</v>
      </c>
      <c r="B278" s="4" t="s">
        <v>347</v>
      </c>
      <c r="C278" s="4" t="s">
        <v>46</v>
      </c>
      <c r="D278" s="4">
        <v>49</v>
      </c>
      <c r="E278" s="4" t="str" cm="1">
        <f t="array" ref="E278">_xlfn.IFS(Table1[[#This Row],[Age]]&lt;=30, "18-30",Table1[[#This Row],[Age]]&lt;=40, "31-40", Table1[[#This Row],[Age]]&lt;=50, "41-50", TRUE, "51-65")</f>
        <v>41-50</v>
      </c>
      <c r="F278" s="4" t="s">
        <v>29</v>
      </c>
      <c r="G278" s="4" t="s">
        <v>30</v>
      </c>
      <c r="H278" s="4">
        <v>45000</v>
      </c>
      <c r="I278" s="5">
        <v>43512</v>
      </c>
      <c r="J278" s="4">
        <v>7.6</v>
      </c>
      <c r="K278" s="4" t="str" cm="1">
        <f t="array" ref="K278">_xlfn.IFS(Table1[[#This Row],[Years_of_Service]]&lt;=2, "0-2 Years", Table1[[#This Row],[Years_of_Service]]&lt;=5, "3-5 Years", Table1[[#This Row],[Years_of_Service]]&lt;=8, "6-8 Years", TRUE, "8 Years")</f>
        <v>6-8 Years</v>
      </c>
      <c r="L278" s="4" t="s">
        <v>49</v>
      </c>
      <c r="M278" s="4">
        <v>57.9</v>
      </c>
      <c r="N278" s="4">
        <v>86.5</v>
      </c>
      <c r="O278" s="4">
        <v>0</v>
      </c>
      <c r="P278" s="4">
        <v>1</v>
      </c>
      <c r="Q278" s="4" t="s">
        <v>32</v>
      </c>
      <c r="R278" s="5"/>
      <c r="S278" s="4" t="s">
        <v>75</v>
      </c>
    </row>
    <row r="279" spans="1:19" x14ac:dyDescent="0.3">
      <c r="A279" s="4">
        <v>278</v>
      </c>
      <c r="B279" s="4" t="s">
        <v>348</v>
      </c>
      <c r="C279" s="4" t="s">
        <v>46</v>
      </c>
      <c r="D279" s="4">
        <v>31</v>
      </c>
      <c r="E279" s="4" t="str" cm="1">
        <f t="array" ref="E279">_xlfn.IFS(Table1[[#This Row],[Age]]&lt;=30, "18-30",Table1[[#This Row],[Age]]&lt;=40, "31-40", Table1[[#This Row],[Age]]&lt;=50, "41-50", TRUE, "51-65")</f>
        <v>31-40</v>
      </c>
      <c r="F279" s="4" t="s">
        <v>58</v>
      </c>
      <c r="G279" s="4" t="s">
        <v>78</v>
      </c>
      <c r="H279" s="4">
        <v>60000</v>
      </c>
      <c r="I279" s="5">
        <v>45161</v>
      </c>
      <c r="J279" s="4">
        <v>3.1</v>
      </c>
      <c r="K279" s="4" t="str" cm="1">
        <f t="array" ref="K279">_xlfn.IFS(Table1[[#This Row],[Years_of_Service]]&lt;=2, "0-2 Years", Table1[[#This Row],[Years_of_Service]]&lt;=5, "3-5 Years", Table1[[#This Row],[Years_of_Service]]&lt;=8, "6-8 Years", TRUE, "8 Years")</f>
        <v>3-5 Years</v>
      </c>
      <c r="L279" s="4" t="s">
        <v>43</v>
      </c>
      <c r="M279" s="4">
        <v>76.2</v>
      </c>
      <c r="N279" s="4">
        <v>88.6</v>
      </c>
      <c r="O279" s="4">
        <v>15</v>
      </c>
      <c r="P279" s="4">
        <v>18</v>
      </c>
      <c r="Q279" s="4" t="s">
        <v>38</v>
      </c>
      <c r="R279" s="5">
        <v>45917</v>
      </c>
      <c r="S279" s="4" t="s">
        <v>60</v>
      </c>
    </row>
    <row r="280" spans="1:19" x14ac:dyDescent="0.3">
      <c r="A280" s="4">
        <v>279</v>
      </c>
      <c r="B280" s="4" t="s">
        <v>349</v>
      </c>
      <c r="C280" s="4" t="s">
        <v>28</v>
      </c>
      <c r="D280" s="4">
        <v>23</v>
      </c>
      <c r="E280" s="4" t="str" cm="1">
        <f t="array" ref="E280">_xlfn.IFS(Table1[[#This Row],[Age]]&lt;=30, "18-30",Table1[[#This Row],[Age]]&lt;=40, "31-40", Table1[[#This Row],[Age]]&lt;=50, "41-50", TRUE, "51-65")</f>
        <v>18-30</v>
      </c>
      <c r="F280" s="4" t="s">
        <v>51</v>
      </c>
      <c r="G280" s="4" t="s">
        <v>55</v>
      </c>
      <c r="H280" s="4">
        <v>49000</v>
      </c>
      <c r="I280" s="5">
        <v>44673</v>
      </c>
      <c r="J280" s="4">
        <v>4.5</v>
      </c>
      <c r="K280" s="4" t="str" cm="1">
        <f t="array" ref="K280">_xlfn.IFS(Table1[[#This Row],[Years_of_Service]]&lt;=2, "0-2 Years", Table1[[#This Row],[Years_of_Service]]&lt;=5, "3-5 Years", Table1[[#This Row],[Years_of_Service]]&lt;=8, "6-8 Years", TRUE, "8 Years")</f>
        <v>3-5 Years</v>
      </c>
      <c r="L280" s="4" t="s">
        <v>37</v>
      </c>
      <c r="M280" s="4">
        <v>59.5</v>
      </c>
      <c r="N280" s="4">
        <v>88</v>
      </c>
      <c r="O280" s="4">
        <v>23</v>
      </c>
      <c r="P280" s="4">
        <v>2</v>
      </c>
      <c r="Q280" s="4" t="s">
        <v>32</v>
      </c>
      <c r="R280" s="5"/>
      <c r="S280" s="4" t="s">
        <v>44</v>
      </c>
    </row>
    <row r="281" spans="1:19" x14ac:dyDescent="0.3">
      <c r="A281" s="4">
        <v>280</v>
      </c>
      <c r="B281" s="4" t="s">
        <v>350</v>
      </c>
      <c r="C281" s="4" t="s">
        <v>46</v>
      </c>
      <c r="D281" s="4">
        <v>22</v>
      </c>
      <c r="E281" s="4" t="str" cm="1">
        <f t="array" ref="E281">_xlfn.IFS(Table1[[#This Row],[Age]]&lt;=30, "18-30",Table1[[#This Row],[Age]]&lt;=40, "31-40", Table1[[#This Row],[Age]]&lt;=50, "41-50", TRUE, "51-65")</f>
        <v>18-30</v>
      </c>
      <c r="F281" s="4" t="s">
        <v>35</v>
      </c>
      <c r="G281" s="4" t="s">
        <v>101</v>
      </c>
      <c r="H281" s="4">
        <v>56000</v>
      </c>
      <c r="I281" s="5">
        <v>45232</v>
      </c>
      <c r="J281" s="4">
        <v>2.9</v>
      </c>
      <c r="K281" s="4" t="str" cm="1">
        <f t="array" ref="K281">_xlfn.IFS(Table1[[#This Row],[Years_of_Service]]&lt;=2, "0-2 Years", Table1[[#This Row],[Years_of_Service]]&lt;=5, "3-5 Years", Table1[[#This Row],[Years_of_Service]]&lt;=8, "6-8 Years", TRUE, "8 Years")</f>
        <v>3-5 Years</v>
      </c>
      <c r="L281" s="4" t="s">
        <v>37</v>
      </c>
      <c r="M281" s="4">
        <v>95.5</v>
      </c>
      <c r="N281" s="4">
        <v>84.9</v>
      </c>
      <c r="O281" s="4">
        <v>1</v>
      </c>
      <c r="P281" s="4">
        <v>3</v>
      </c>
      <c r="Q281" s="4" t="s">
        <v>32</v>
      </c>
      <c r="R281" s="5"/>
      <c r="S281" s="4" t="s">
        <v>39</v>
      </c>
    </row>
    <row r="282" spans="1:19" x14ac:dyDescent="0.3">
      <c r="A282" s="4">
        <v>281</v>
      </c>
      <c r="B282" s="4" t="s">
        <v>351</v>
      </c>
      <c r="C282" s="4" t="s">
        <v>46</v>
      </c>
      <c r="D282" s="4">
        <v>56</v>
      </c>
      <c r="E282" s="4" t="str" cm="1">
        <f t="array" ref="E282">_xlfn.IFS(Table1[[#This Row],[Age]]&lt;=30, "18-30",Table1[[#This Row],[Age]]&lt;=40, "31-40", Table1[[#This Row],[Age]]&lt;=50, "41-50", TRUE, "51-65")</f>
        <v>51-65</v>
      </c>
      <c r="F282" s="4" t="s">
        <v>51</v>
      </c>
      <c r="G282" s="4" t="s">
        <v>73</v>
      </c>
      <c r="H282" s="4">
        <v>41000</v>
      </c>
      <c r="I282" s="5">
        <v>45678</v>
      </c>
      <c r="J282" s="4">
        <v>1.7</v>
      </c>
      <c r="K282" s="4" t="str" cm="1">
        <f t="array" ref="K282">_xlfn.IFS(Table1[[#This Row],[Years_of_Service]]&lt;=2, "0-2 Years", Table1[[#This Row],[Years_of_Service]]&lt;=5, "3-5 Years", Table1[[#This Row],[Years_of_Service]]&lt;=8, "6-8 Years", TRUE, "8 Years")</f>
        <v>0-2 Years</v>
      </c>
      <c r="L282" s="4" t="s">
        <v>53</v>
      </c>
      <c r="M282" s="4">
        <v>65.2</v>
      </c>
      <c r="N282" s="4">
        <v>82.9</v>
      </c>
      <c r="O282" s="4">
        <v>4</v>
      </c>
      <c r="P282" s="4">
        <v>1</v>
      </c>
      <c r="Q282" s="4" t="s">
        <v>38</v>
      </c>
      <c r="R282" s="5">
        <v>45739</v>
      </c>
      <c r="S282" s="4" t="s">
        <v>39</v>
      </c>
    </row>
    <row r="283" spans="1:19" x14ac:dyDescent="0.3">
      <c r="A283" s="4">
        <v>282</v>
      </c>
      <c r="B283" s="4" t="s">
        <v>352</v>
      </c>
      <c r="C283" s="4" t="s">
        <v>28</v>
      </c>
      <c r="D283" s="4">
        <v>39</v>
      </c>
      <c r="E283" s="4" t="str" cm="1">
        <f t="array" ref="E283">_xlfn.IFS(Table1[[#This Row],[Age]]&lt;=30, "18-30",Table1[[#This Row],[Age]]&lt;=40, "31-40", Table1[[#This Row],[Age]]&lt;=50, "41-50", TRUE, "51-65")</f>
        <v>31-40</v>
      </c>
      <c r="F283" s="4" t="s">
        <v>35</v>
      </c>
      <c r="G283" s="4" t="s">
        <v>81</v>
      </c>
      <c r="H283" s="4">
        <v>64000</v>
      </c>
      <c r="I283" s="5">
        <v>46177</v>
      </c>
      <c r="J283" s="4">
        <v>0.3</v>
      </c>
      <c r="K283" s="4" t="str" cm="1">
        <f t="array" ref="K283">_xlfn.IFS(Table1[[#This Row],[Years_of_Service]]&lt;=2, "0-2 Years", Table1[[#This Row],[Years_of_Service]]&lt;=5, "3-5 Years", Table1[[#This Row],[Years_of_Service]]&lt;=8, "6-8 Years", TRUE, "8 Years")</f>
        <v>0-2 Years</v>
      </c>
      <c r="L283" s="4" t="s">
        <v>43</v>
      </c>
      <c r="M283" s="4">
        <v>81.900000000000006</v>
      </c>
      <c r="N283" s="4">
        <v>90.4</v>
      </c>
      <c r="O283" s="4">
        <v>6</v>
      </c>
      <c r="P283" s="4">
        <v>5</v>
      </c>
      <c r="Q283" s="4" t="s">
        <v>32</v>
      </c>
      <c r="R283" s="5"/>
      <c r="S283" s="4" t="s">
        <v>39</v>
      </c>
    </row>
    <row r="284" spans="1:19" x14ac:dyDescent="0.3">
      <c r="A284" s="4">
        <v>283</v>
      </c>
      <c r="B284" s="4" t="s">
        <v>353</v>
      </c>
      <c r="C284" s="4" t="s">
        <v>28</v>
      </c>
      <c r="D284" s="4">
        <v>40</v>
      </c>
      <c r="E284" s="4" t="str" cm="1">
        <f t="array" ref="E284">_xlfn.IFS(Table1[[#This Row],[Age]]&lt;=30, "18-30",Table1[[#This Row],[Age]]&lt;=40, "31-40", Table1[[#This Row],[Age]]&lt;=50, "41-50", TRUE, "51-65")</f>
        <v>31-40</v>
      </c>
      <c r="F284" s="4" t="s">
        <v>35</v>
      </c>
      <c r="G284" s="4" t="s">
        <v>81</v>
      </c>
      <c r="H284" s="4">
        <v>29000</v>
      </c>
      <c r="I284" s="5">
        <v>45094</v>
      </c>
      <c r="J284" s="4">
        <v>3.3</v>
      </c>
      <c r="K284" s="4" t="str" cm="1">
        <f t="array" ref="K284">_xlfn.IFS(Table1[[#This Row],[Years_of_Service]]&lt;=2, "0-2 Years", Table1[[#This Row],[Years_of_Service]]&lt;=5, "3-5 Years", Table1[[#This Row],[Years_of_Service]]&lt;=8, "6-8 Years", TRUE, "8 Years")</f>
        <v>3-5 Years</v>
      </c>
      <c r="L284" s="4" t="s">
        <v>37</v>
      </c>
      <c r="M284" s="4">
        <v>66.400000000000006</v>
      </c>
      <c r="N284" s="4">
        <v>93.2</v>
      </c>
      <c r="O284" s="4">
        <v>11</v>
      </c>
      <c r="P284" s="4">
        <v>12</v>
      </c>
      <c r="Q284" s="4" t="s">
        <v>32</v>
      </c>
      <c r="R284" s="5"/>
      <c r="S284" s="4" t="s">
        <v>39</v>
      </c>
    </row>
    <row r="285" spans="1:19" x14ac:dyDescent="0.3">
      <c r="A285" s="4">
        <v>284</v>
      </c>
      <c r="B285" s="4" t="s">
        <v>354</v>
      </c>
      <c r="C285" s="4" t="s">
        <v>28</v>
      </c>
      <c r="D285" s="4">
        <v>37</v>
      </c>
      <c r="E285" s="4" t="str" cm="1">
        <f t="array" ref="E285">_xlfn.IFS(Table1[[#This Row],[Age]]&lt;=30, "18-30",Table1[[#This Row],[Age]]&lt;=40, "31-40", Table1[[#This Row],[Age]]&lt;=50, "41-50", TRUE, "51-65")</f>
        <v>31-40</v>
      </c>
      <c r="F285" s="4" t="s">
        <v>51</v>
      </c>
      <c r="G285" s="4" t="s">
        <v>55</v>
      </c>
      <c r="H285" s="4">
        <v>45000</v>
      </c>
      <c r="I285" s="5">
        <v>45267</v>
      </c>
      <c r="J285" s="4">
        <v>2.8</v>
      </c>
      <c r="K285" s="4" t="str" cm="1">
        <f t="array" ref="K285">_xlfn.IFS(Table1[[#This Row],[Years_of_Service]]&lt;=2, "0-2 Years", Table1[[#This Row],[Years_of_Service]]&lt;=5, "3-5 Years", Table1[[#This Row],[Years_of_Service]]&lt;=8, "6-8 Years", TRUE, "8 Years")</f>
        <v>3-5 Years</v>
      </c>
      <c r="L285" s="4" t="s">
        <v>31</v>
      </c>
      <c r="M285" s="4">
        <v>75</v>
      </c>
      <c r="N285" s="4">
        <v>86</v>
      </c>
      <c r="O285" s="4">
        <v>1</v>
      </c>
      <c r="P285" s="4">
        <v>4</v>
      </c>
      <c r="Q285" s="4" t="s">
        <v>32</v>
      </c>
      <c r="R285" s="5"/>
      <c r="S285" s="4" t="s">
        <v>33</v>
      </c>
    </row>
    <row r="286" spans="1:19" x14ac:dyDescent="0.3">
      <c r="A286" s="4">
        <v>285</v>
      </c>
      <c r="B286" s="4" t="s">
        <v>355</v>
      </c>
      <c r="C286" s="4" t="s">
        <v>46</v>
      </c>
      <c r="D286" s="4">
        <v>58</v>
      </c>
      <c r="E286" s="4" t="str" cm="1">
        <f t="array" ref="E286">_xlfn.IFS(Table1[[#This Row],[Age]]&lt;=30, "18-30",Table1[[#This Row],[Age]]&lt;=40, "31-40", Table1[[#This Row],[Age]]&lt;=50, "41-50", TRUE, "51-65")</f>
        <v>51-65</v>
      </c>
      <c r="F286" s="4" t="s">
        <v>35</v>
      </c>
      <c r="G286" s="4" t="s">
        <v>101</v>
      </c>
      <c r="H286" s="4">
        <v>33000</v>
      </c>
      <c r="I286" s="5">
        <v>44397</v>
      </c>
      <c r="J286" s="4">
        <v>5.2</v>
      </c>
      <c r="K286" s="4" t="str" cm="1">
        <f t="array" ref="K286">_xlfn.IFS(Table1[[#This Row],[Years_of_Service]]&lt;=2, "0-2 Years", Table1[[#This Row],[Years_of_Service]]&lt;=5, "3-5 Years", Table1[[#This Row],[Years_of_Service]]&lt;=8, "6-8 Years", TRUE, "8 Years")</f>
        <v>6-8 Years</v>
      </c>
      <c r="L286" s="4" t="s">
        <v>31</v>
      </c>
      <c r="M286" s="4">
        <v>90.2</v>
      </c>
      <c r="N286" s="4">
        <v>89.3</v>
      </c>
      <c r="O286" s="4">
        <v>7</v>
      </c>
      <c r="P286" s="4">
        <v>15</v>
      </c>
      <c r="Q286" s="4" t="s">
        <v>38</v>
      </c>
      <c r="R286" s="5">
        <v>45815</v>
      </c>
      <c r="S286" s="4" t="s">
        <v>39</v>
      </c>
    </row>
    <row r="287" spans="1:19" x14ac:dyDescent="0.3">
      <c r="A287" s="4">
        <v>286</v>
      </c>
      <c r="B287" s="4" t="s">
        <v>356</v>
      </c>
      <c r="C287" s="4" t="s">
        <v>28</v>
      </c>
      <c r="D287" s="4">
        <v>53</v>
      </c>
      <c r="E287" s="4" t="str" cm="1">
        <f t="array" ref="E287">_xlfn.IFS(Table1[[#This Row],[Age]]&lt;=30, "18-30",Table1[[#This Row],[Age]]&lt;=40, "31-40", Table1[[#This Row],[Age]]&lt;=50, "41-50", TRUE, "51-65")</f>
        <v>51-65</v>
      </c>
      <c r="F287" s="4" t="s">
        <v>35</v>
      </c>
      <c r="G287" s="4" t="s">
        <v>81</v>
      </c>
      <c r="H287" s="4">
        <v>47000</v>
      </c>
      <c r="I287" s="5">
        <v>45805</v>
      </c>
      <c r="J287" s="4">
        <v>1.4</v>
      </c>
      <c r="K287" s="4" t="str" cm="1">
        <f t="array" ref="K287">_xlfn.IFS(Table1[[#This Row],[Years_of_Service]]&lt;=2, "0-2 Years", Table1[[#This Row],[Years_of_Service]]&lt;=5, "3-5 Years", Table1[[#This Row],[Years_of_Service]]&lt;=8, "6-8 Years", TRUE, "8 Years")</f>
        <v>0-2 Years</v>
      </c>
      <c r="L287" s="4" t="s">
        <v>43</v>
      </c>
      <c r="M287" s="4">
        <v>93.7</v>
      </c>
      <c r="N287" s="4">
        <v>96</v>
      </c>
      <c r="O287" s="4">
        <v>24</v>
      </c>
      <c r="P287" s="4">
        <v>14</v>
      </c>
      <c r="Q287" s="4" t="s">
        <v>38</v>
      </c>
      <c r="R287" s="5">
        <v>46151</v>
      </c>
      <c r="S287" s="4" t="s">
        <v>60</v>
      </c>
    </row>
    <row r="288" spans="1:19" x14ac:dyDescent="0.3">
      <c r="A288" s="4">
        <v>287</v>
      </c>
      <c r="B288" s="4" t="s">
        <v>357</v>
      </c>
      <c r="C288" s="4" t="s">
        <v>28</v>
      </c>
      <c r="D288" s="4">
        <v>29</v>
      </c>
      <c r="E288" s="4" t="str" cm="1">
        <f t="array" ref="E288">_xlfn.IFS(Table1[[#This Row],[Age]]&lt;=30, "18-30",Table1[[#This Row],[Age]]&lt;=40, "31-40", Table1[[#This Row],[Age]]&lt;=50, "41-50", TRUE, "51-65")</f>
        <v>18-30</v>
      </c>
      <c r="F288" s="4" t="s">
        <v>51</v>
      </c>
      <c r="G288" s="4" t="s">
        <v>73</v>
      </c>
      <c r="H288" s="4">
        <v>18000</v>
      </c>
      <c r="I288" s="5">
        <v>43640</v>
      </c>
      <c r="J288" s="4">
        <v>7.3</v>
      </c>
      <c r="K288" s="4" t="str" cm="1">
        <f t="array" ref="K288">_xlfn.IFS(Table1[[#This Row],[Years_of_Service]]&lt;=2, "0-2 Years", Table1[[#This Row],[Years_of_Service]]&lt;=5, "3-5 Years", Table1[[#This Row],[Years_of_Service]]&lt;=8, "6-8 Years", TRUE, "8 Years")</f>
        <v>6-8 Years</v>
      </c>
      <c r="L288" s="4" t="s">
        <v>31</v>
      </c>
      <c r="M288" s="4">
        <v>73.7</v>
      </c>
      <c r="N288" s="4">
        <v>99.5</v>
      </c>
      <c r="O288" s="4">
        <v>8</v>
      </c>
      <c r="P288" s="4">
        <v>10</v>
      </c>
      <c r="Q288" s="4" t="s">
        <v>32</v>
      </c>
      <c r="R288" s="5"/>
      <c r="S288" s="4" t="s">
        <v>33</v>
      </c>
    </row>
    <row r="289" spans="1:19" x14ac:dyDescent="0.3">
      <c r="A289" s="4">
        <v>288</v>
      </c>
      <c r="B289" s="4" t="s">
        <v>358</v>
      </c>
      <c r="C289" s="4" t="s">
        <v>46</v>
      </c>
      <c r="D289" s="4">
        <v>56</v>
      </c>
      <c r="E289" s="4" t="str" cm="1">
        <f t="array" ref="E289">_xlfn.IFS(Table1[[#This Row],[Age]]&lt;=30, "18-30",Table1[[#This Row],[Age]]&lt;=40, "31-40", Table1[[#This Row],[Age]]&lt;=50, "41-50", TRUE, "51-65")</f>
        <v>51-65</v>
      </c>
      <c r="F289" s="4" t="s">
        <v>35</v>
      </c>
      <c r="G289" s="4" t="s">
        <v>81</v>
      </c>
      <c r="H289" s="4">
        <v>71000</v>
      </c>
      <c r="I289" s="5">
        <v>44801</v>
      </c>
      <c r="J289" s="4">
        <v>4.0999999999999996</v>
      </c>
      <c r="K289" s="4" t="str" cm="1">
        <f t="array" ref="K289">_xlfn.IFS(Table1[[#This Row],[Years_of_Service]]&lt;=2, "0-2 Years", Table1[[#This Row],[Years_of_Service]]&lt;=5, "3-5 Years", Table1[[#This Row],[Years_of_Service]]&lt;=8, "6-8 Years", TRUE, "8 Years")</f>
        <v>3-5 Years</v>
      </c>
      <c r="L289" s="4" t="s">
        <v>49</v>
      </c>
      <c r="M289" s="4">
        <v>91.8</v>
      </c>
      <c r="N289" s="4">
        <v>91.1</v>
      </c>
      <c r="O289" s="4">
        <v>19</v>
      </c>
      <c r="P289" s="4">
        <v>18</v>
      </c>
      <c r="Q289" s="4" t="s">
        <v>32</v>
      </c>
      <c r="R289" s="5"/>
      <c r="S289" s="4" t="s">
        <v>44</v>
      </c>
    </row>
    <row r="290" spans="1:19" x14ac:dyDescent="0.3">
      <c r="A290" s="4">
        <v>289</v>
      </c>
      <c r="B290" s="4" t="s">
        <v>359</v>
      </c>
      <c r="C290" s="4" t="s">
        <v>28</v>
      </c>
      <c r="D290" s="4">
        <v>47</v>
      </c>
      <c r="E290" s="4" t="str" cm="1">
        <f t="array" ref="E290">_xlfn.IFS(Table1[[#This Row],[Age]]&lt;=30, "18-30",Table1[[#This Row],[Age]]&lt;=40, "31-40", Table1[[#This Row],[Age]]&lt;=50, "41-50", TRUE, "51-65")</f>
        <v>41-50</v>
      </c>
      <c r="F290" s="4" t="s">
        <v>41</v>
      </c>
      <c r="G290" s="4" t="s">
        <v>96</v>
      </c>
      <c r="H290" s="4">
        <v>42000</v>
      </c>
      <c r="I290" s="5">
        <v>44078</v>
      </c>
      <c r="J290" s="4">
        <v>6.1</v>
      </c>
      <c r="K290" s="4" t="str" cm="1">
        <f t="array" ref="K290">_xlfn.IFS(Table1[[#This Row],[Years_of_Service]]&lt;=2, "0-2 Years", Table1[[#This Row],[Years_of_Service]]&lt;=5, "3-5 Years", Table1[[#This Row],[Years_of_Service]]&lt;=8, "6-8 Years", TRUE, "8 Years")</f>
        <v>6-8 Years</v>
      </c>
      <c r="L290" s="4" t="s">
        <v>31</v>
      </c>
      <c r="M290" s="4">
        <v>87.6</v>
      </c>
      <c r="N290" s="4">
        <v>98.4</v>
      </c>
      <c r="O290" s="4">
        <v>24</v>
      </c>
      <c r="P290" s="4">
        <v>3</v>
      </c>
      <c r="Q290" s="4" t="s">
        <v>32</v>
      </c>
      <c r="R290" s="5"/>
      <c r="S290" s="4" t="s">
        <v>39</v>
      </c>
    </row>
    <row r="291" spans="1:19" x14ac:dyDescent="0.3">
      <c r="A291" s="4">
        <v>290</v>
      </c>
      <c r="B291" s="4" t="s">
        <v>360</v>
      </c>
      <c r="C291" s="4" t="s">
        <v>46</v>
      </c>
      <c r="D291" s="4">
        <v>47</v>
      </c>
      <c r="E291" s="4" t="str" cm="1">
        <f t="array" ref="E291">_xlfn.IFS(Table1[[#This Row],[Age]]&lt;=30, "18-30",Table1[[#This Row],[Age]]&lt;=40, "31-40", Table1[[#This Row],[Age]]&lt;=50, "41-50", TRUE, "51-65")</f>
        <v>41-50</v>
      </c>
      <c r="F291" s="4" t="s">
        <v>41</v>
      </c>
      <c r="G291" s="4" t="s">
        <v>71</v>
      </c>
      <c r="H291" s="4">
        <v>44000</v>
      </c>
      <c r="I291" s="5">
        <v>44547</v>
      </c>
      <c r="J291" s="4">
        <v>4.8</v>
      </c>
      <c r="K291" s="4" t="str" cm="1">
        <f t="array" ref="K291">_xlfn.IFS(Table1[[#This Row],[Years_of_Service]]&lt;=2, "0-2 Years", Table1[[#This Row],[Years_of_Service]]&lt;=5, "3-5 Years", Table1[[#This Row],[Years_of_Service]]&lt;=8, "6-8 Years", TRUE, "8 Years")</f>
        <v>3-5 Years</v>
      </c>
      <c r="L291" s="4" t="s">
        <v>43</v>
      </c>
      <c r="M291" s="4">
        <v>71.5</v>
      </c>
      <c r="N291" s="4">
        <v>90.5</v>
      </c>
      <c r="O291" s="4">
        <v>5</v>
      </c>
      <c r="P291" s="4">
        <v>8</v>
      </c>
      <c r="Q291" s="4" t="s">
        <v>38</v>
      </c>
      <c r="R291" s="5">
        <v>45817</v>
      </c>
      <c r="S291" s="4" t="s">
        <v>75</v>
      </c>
    </row>
    <row r="292" spans="1:19" x14ac:dyDescent="0.3">
      <c r="A292" s="4">
        <v>291</v>
      </c>
      <c r="B292" s="4" t="s">
        <v>361</v>
      </c>
      <c r="C292" s="4" t="s">
        <v>46</v>
      </c>
      <c r="D292" s="4">
        <v>23</v>
      </c>
      <c r="E292" s="4" t="str" cm="1">
        <f t="array" ref="E292">_xlfn.IFS(Table1[[#This Row],[Age]]&lt;=30, "18-30",Table1[[#This Row],[Age]]&lt;=40, "31-40", Table1[[#This Row],[Age]]&lt;=50, "41-50", TRUE, "51-65")</f>
        <v>18-30</v>
      </c>
      <c r="F292" s="4" t="s">
        <v>51</v>
      </c>
      <c r="G292" s="4" t="s">
        <v>52</v>
      </c>
      <c r="H292" s="4">
        <v>48000</v>
      </c>
      <c r="I292" s="5">
        <v>45087</v>
      </c>
      <c r="J292" s="4">
        <v>3.3</v>
      </c>
      <c r="K292" s="4" t="str" cm="1">
        <f t="array" ref="K292">_xlfn.IFS(Table1[[#This Row],[Years_of_Service]]&lt;=2, "0-2 Years", Table1[[#This Row],[Years_of_Service]]&lt;=5, "3-5 Years", Table1[[#This Row],[Years_of_Service]]&lt;=8, "6-8 Years", TRUE, "8 Years")</f>
        <v>3-5 Years</v>
      </c>
      <c r="L292" s="4" t="s">
        <v>98</v>
      </c>
      <c r="M292" s="4">
        <v>65.2</v>
      </c>
      <c r="N292" s="4">
        <v>95.1</v>
      </c>
      <c r="O292" s="4">
        <v>0</v>
      </c>
      <c r="P292" s="4">
        <v>10</v>
      </c>
      <c r="Q292" s="4" t="s">
        <v>32</v>
      </c>
      <c r="R292" s="5"/>
      <c r="S292" s="4" t="s">
        <v>39</v>
      </c>
    </row>
    <row r="293" spans="1:19" x14ac:dyDescent="0.3">
      <c r="A293" s="4">
        <v>292</v>
      </c>
      <c r="B293" s="4" t="s">
        <v>362</v>
      </c>
      <c r="C293" s="4" t="s">
        <v>46</v>
      </c>
      <c r="D293" s="4">
        <v>27</v>
      </c>
      <c r="E293" s="4" t="str" cm="1">
        <f t="array" ref="E293">_xlfn.IFS(Table1[[#This Row],[Age]]&lt;=30, "18-30",Table1[[#This Row],[Age]]&lt;=40, "31-40", Table1[[#This Row],[Age]]&lt;=50, "41-50", TRUE, "51-65")</f>
        <v>18-30</v>
      </c>
      <c r="F293" s="4" t="s">
        <v>47</v>
      </c>
      <c r="G293" s="4" t="s">
        <v>89</v>
      </c>
      <c r="H293" s="4">
        <v>39000</v>
      </c>
      <c r="I293" s="5">
        <v>44399</v>
      </c>
      <c r="J293" s="4">
        <v>5.2</v>
      </c>
      <c r="K293" s="4" t="str" cm="1">
        <f t="array" ref="K293">_xlfn.IFS(Table1[[#This Row],[Years_of_Service]]&lt;=2, "0-2 Years", Table1[[#This Row],[Years_of_Service]]&lt;=5, "3-5 Years", Table1[[#This Row],[Years_of_Service]]&lt;=8, "6-8 Years", TRUE, "8 Years")</f>
        <v>6-8 Years</v>
      </c>
      <c r="L293" s="4" t="s">
        <v>98</v>
      </c>
      <c r="M293" s="4">
        <v>60.8</v>
      </c>
      <c r="N293" s="4">
        <v>99</v>
      </c>
      <c r="O293" s="4">
        <v>8</v>
      </c>
      <c r="P293" s="4">
        <v>13</v>
      </c>
      <c r="Q293" s="4" t="s">
        <v>32</v>
      </c>
      <c r="R293" s="5"/>
      <c r="S293" s="4" t="s">
        <v>44</v>
      </c>
    </row>
    <row r="294" spans="1:19" x14ac:dyDescent="0.3">
      <c r="A294" s="4">
        <v>293</v>
      </c>
      <c r="B294" s="4" t="s">
        <v>363</v>
      </c>
      <c r="C294" s="4" t="s">
        <v>28</v>
      </c>
      <c r="D294" s="4">
        <v>49</v>
      </c>
      <c r="E294" s="4" t="str" cm="1">
        <f t="array" ref="E294">_xlfn.IFS(Table1[[#This Row],[Age]]&lt;=30, "18-30",Table1[[#This Row],[Age]]&lt;=40, "31-40", Table1[[#This Row],[Age]]&lt;=50, "41-50", TRUE, "51-65")</f>
        <v>41-50</v>
      </c>
      <c r="F294" s="4" t="s">
        <v>29</v>
      </c>
      <c r="G294" s="4" t="s">
        <v>30</v>
      </c>
      <c r="H294" s="4">
        <v>54000</v>
      </c>
      <c r="I294" s="5">
        <v>44331</v>
      </c>
      <c r="J294" s="4">
        <v>5.4</v>
      </c>
      <c r="K294" s="4" t="str" cm="1">
        <f t="array" ref="K294">_xlfn.IFS(Table1[[#This Row],[Years_of_Service]]&lt;=2, "0-2 Years", Table1[[#This Row],[Years_of_Service]]&lt;=5, "3-5 Years", Table1[[#This Row],[Years_of_Service]]&lt;=8, "6-8 Years", TRUE, "8 Years")</f>
        <v>6-8 Years</v>
      </c>
      <c r="L294" s="4" t="s">
        <v>43</v>
      </c>
      <c r="M294" s="4">
        <v>75.8</v>
      </c>
      <c r="N294" s="4">
        <v>91</v>
      </c>
      <c r="O294" s="4">
        <v>16</v>
      </c>
      <c r="P294" s="4">
        <v>5</v>
      </c>
      <c r="Q294" s="4" t="s">
        <v>32</v>
      </c>
      <c r="R294" s="5"/>
      <c r="S294" s="4" t="s">
        <v>33</v>
      </c>
    </row>
    <row r="295" spans="1:19" x14ac:dyDescent="0.3">
      <c r="A295" s="4">
        <v>294</v>
      </c>
      <c r="B295" s="4" t="s">
        <v>364</v>
      </c>
      <c r="C295" s="4" t="s">
        <v>46</v>
      </c>
      <c r="D295" s="4">
        <v>29</v>
      </c>
      <c r="E295" s="4" t="str" cm="1">
        <f t="array" ref="E295">_xlfn.IFS(Table1[[#This Row],[Age]]&lt;=30, "18-30",Table1[[#This Row],[Age]]&lt;=40, "31-40", Table1[[#This Row],[Age]]&lt;=50, "41-50", TRUE, "51-65")</f>
        <v>18-30</v>
      </c>
      <c r="F295" s="4" t="s">
        <v>47</v>
      </c>
      <c r="G295" s="4" t="s">
        <v>64</v>
      </c>
      <c r="H295" s="4">
        <v>39000</v>
      </c>
      <c r="I295" s="5">
        <v>45613</v>
      </c>
      <c r="J295" s="4">
        <v>1.9</v>
      </c>
      <c r="K295" s="4" t="str" cm="1">
        <f t="array" ref="K295">_xlfn.IFS(Table1[[#This Row],[Years_of_Service]]&lt;=2, "0-2 Years", Table1[[#This Row],[Years_of_Service]]&lt;=5, "3-5 Years", Table1[[#This Row],[Years_of_Service]]&lt;=8, "6-8 Years", TRUE, "8 Years")</f>
        <v>0-2 Years</v>
      </c>
      <c r="L295" s="4" t="s">
        <v>37</v>
      </c>
      <c r="M295" s="4">
        <v>92.8</v>
      </c>
      <c r="N295" s="4">
        <v>82.5</v>
      </c>
      <c r="O295" s="4">
        <v>1</v>
      </c>
      <c r="P295" s="4">
        <v>7</v>
      </c>
      <c r="Q295" s="4" t="s">
        <v>32</v>
      </c>
      <c r="R295" s="5"/>
      <c r="S295" s="4" t="s">
        <v>33</v>
      </c>
    </row>
    <row r="296" spans="1:19" x14ac:dyDescent="0.3">
      <c r="A296" s="4">
        <v>295</v>
      </c>
      <c r="B296" s="4" t="s">
        <v>365</v>
      </c>
      <c r="C296" s="4" t="s">
        <v>46</v>
      </c>
      <c r="D296" s="4">
        <v>33</v>
      </c>
      <c r="E296" s="4" t="str" cm="1">
        <f t="array" ref="E296">_xlfn.IFS(Table1[[#This Row],[Age]]&lt;=30, "18-30",Table1[[#This Row],[Age]]&lt;=40, "31-40", Table1[[#This Row],[Age]]&lt;=50, "41-50", TRUE, "51-65")</f>
        <v>31-40</v>
      </c>
      <c r="F296" s="4" t="s">
        <v>58</v>
      </c>
      <c r="G296" s="4" t="s">
        <v>136</v>
      </c>
      <c r="H296" s="4">
        <v>43000</v>
      </c>
      <c r="I296" s="5">
        <v>44588</v>
      </c>
      <c r="J296" s="4">
        <v>4.7</v>
      </c>
      <c r="K296" s="4" t="str" cm="1">
        <f t="array" ref="K296">_xlfn.IFS(Table1[[#This Row],[Years_of_Service]]&lt;=2, "0-2 Years", Table1[[#This Row],[Years_of_Service]]&lt;=5, "3-5 Years", Table1[[#This Row],[Years_of_Service]]&lt;=8, "6-8 Years", TRUE, "8 Years")</f>
        <v>3-5 Years</v>
      </c>
      <c r="L296" s="4" t="s">
        <v>37</v>
      </c>
      <c r="M296" s="4">
        <v>72.099999999999994</v>
      </c>
      <c r="N296" s="4">
        <v>98.2</v>
      </c>
      <c r="O296" s="4">
        <v>11</v>
      </c>
      <c r="P296" s="4">
        <v>15</v>
      </c>
      <c r="Q296" s="4" t="s">
        <v>32</v>
      </c>
      <c r="R296" s="5"/>
      <c r="S296" s="4" t="s">
        <v>44</v>
      </c>
    </row>
    <row r="297" spans="1:19" x14ac:dyDescent="0.3">
      <c r="A297" s="4">
        <v>296</v>
      </c>
      <c r="B297" s="4" t="s">
        <v>366</v>
      </c>
      <c r="C297" s="4" t="s">
        <v>46</v>
      </c>
      <c r="D297" s="4">
        <v>58</v>
      </c>
      <c r="E297" s="4" t="str" cm="1">
        <f t="array" ref="E297">_xlfn.IFS(Table1[[#This Row],[Age]]&lt;=30, "18-30",Table1[[#This Row],[Age]]&lt;=40, "31-40", Table1[[#This Row],[Age]]&lt;=50, "41-50", TRUE, "51-65")</f>
        <v>51-65</v>
      </c>
      <c r="F297" s="4" t="s">
        <v>58</v>
      </c>
      <c r="G297" s="4" t="s">
        <v>136</v>
      </c>
      <c r="H297" s="4">
        <v>61000</v>
      </c>
      <c r="I297" s="5">
        <v>45724</v>
      </c>
      <c r="J297" s="4">
        <v>1.6</v>
      </c>
      <c r="K297" s="4" t="str" cm="1">
        <f t="array" ref="K297">_xlfn.IFS(Table1[[#This Row],[Years_of_Service]]&lt;=2, "0-2 Years", Table1[[#This Row],[Years_of_Service]]&lt;=5, "3-5 Years", Table1[[#This Row],[Years_of_Service]]&lt;=8, "6-8 Years", TRUE, "8 Years")</f>
        <v>0-2 Years</v>
      </c>
      <c r="L297" s="4" t="s">
        <v>49</v>
      </c>
      <c r="M297" s="4">
        <v>70</v>
      </c>
      <c r="N297" s="4">
        <v>84.9</v>
      </c>
      <c r="O297" s="4">
        <v>22</v>
      </c>
      <c r="P297" s="4">
        <v>2</v>
      </c>
      <c r="Q297" s="4" t="s">
        <v>32</v>
      </c>
      <c r="R297" s="5"/>
      <c r="S297" s="4" t="s">
        <v>39</v>
      </c>
    </row>
    <row r="298" spans="1:19" x14ac:dyDescent="0.3">
      <c r="A298" s="4">
        <v>297</v>
      </c>
      <c r="B298" s="4" t="s">
        <v>367</v>
      </c>
      <c r="C298" s="4" t="s">
        <v>28</v>
      </c>
      <c r="D298" s="4">
        <v>31</v>
      </c>
      <c r="E298" s="4" t="str" cm="1">
        <f t="array" ref="E298">_xlfn.IFS(Table1[[#This Row],[Age]]&lt;=30, "18-30",Table1[[#This Row],[Age]]&lt;=40, "31-40", Table1[[#This Row],[Age]]&lt;=50, "41-50", TRUE, "51-65")</f>
        <v>31-40</v>
      </c>
      <c r="F298" s="4" t="s">
        <v>35</v>
      </c>
      <c r="G298" s="4" t="s">
        <v>81</v>
      </c>
      <c r="H298" s="4">
        <v>56000</v>
      </c>
      <c r="I298" s="5">
        <v>45809</v>
      </c>
      <c r="J298" s="4">
        <v>1.3</v>
      </c>
      <c r="K298" s="4" t="str" cm="1">
        <f t="array" ref="K298">_xlfn.IFS(Table1[[#This Row],[Years_of_Service]]&lt;=2, "0-2 Years", Table1[[#This Row],[Years_of_Service]]&lt;=5, "3-5 Years", Table1[[#This Row],[Years_of_Service]]&lt;=8, "6-8 Years", TRUE, "8 Years")</f>
        <v>0-2 Years</v>
      </c>
      <c r="L298" s="4" t="s">
        <v>98</v>
      </c>
      <c r="M298" s="4">
        <v>64.5</v>
      </c>
      <c r="N298" s="4">
        <v>85.9</v>
      </c>
      <c r="O298" s="4">
        <v>20</v>
      </c>
      <c r="P298" s="4">
        <v>13</v>
      </c>
      <c r="Q298" s="4" t="s">
        <v>32</v>
      </c>
      <c r="R298" s="5"/>
      <c r="S298" s="4" t="s">
        <v>44</v>
      </c>
    </row>
    <row r="299" spans="1:19" x14ac:dyDescent="0.3">
      <c r="A299" s="4">
        <v>298</v>
      </c>
      <c r="B299" s="4" t="s">
        <v>368</v>
      </c>
      <c r="C299" s="4" t="s">
        <v>46</v>
      </c>
      <c r="D299" s="4">
        <v>29</v>
      </c>
      <c r="E299" s="4" t="str" cm="1">
        <f t="array" ref="E299">_xlfn.IFS(Table1[[#This Row],[Age]]&lt;=30, "18-30",Table1[[#This Row],[Age]]&lt;=40, "31-40", Table1[[#This Row],[Age]]&lt;=50, "41-50", TRUE, "51-65")</f>
        <v>18-30</v>
      </c>
      <c r="F299" s="4" t="s">
        <v>35</v>
      </c>
      <c r="G299" s="4" t="s">
        <v>69</v>
      </c>
      <c r="H299" s="4">
        <v>46000</v>
      </c>
      <c r="I299" s="5">
        <v>46117</v>
      </c>
      <c r="J299" s="4">
        <v>0.5</v>
      </c>
      <c r="K299" s="4" t="str" cm="1">
        <f t="array" ref="K299">_xlfn.IFS(Table1[[#This Row],[Years_of_Service]]&lt;=2, "0-2 Years", Table1[[#This Row],[Years_of_Service]]&lt;=5, "3-5 Years", Table1[[#This Row],[Years_of_Service]]&lt;=8, "6-8 Years", TRUE, "8 Years")</f>
        <v>0-2 Years</v>
      </c>
      <c r="L299" s="4" t="s">
        <v>98</v>
      </c>
      <c r="M299" s="4">
        <v>62.4</v>
      </c>
      <c r="N299" s="4">
        <v>96</v>
      </c>
      <c r="O299" s="4">
        <v>19</v>
      </c>
      <c r="P299" s="4">
        <v>9</v>
      </c>
      <c r="Q299" s="4" t="s">
        <v>32</v>
      </c>
      <c r="R299" s="5"/>
      <c r="S299" s="4" t="s">
        <v>39</v>
      </c>
    </row>
    <row r="300" spans="1:19" x14ac:dyDescent="0.3">
      <c r="A300" s="4">
        <v>299</v>
      </c>
      <c r="B300" s="4" t="s">
        <v>369</v>
      </c>
      <c r="C300" s="4" t="s">
        <v>46</v>
      </c>
      <c r="D300" s="4">
        <v>50</v>
      </c>
      <c r="E300" s="4" t="str" cm="1">
        <f t="array" ref="E300">_xlfn.IFS(Table1[[#This Row],[Age]]&lt;=30, "18-30",Table1[[#This Row],[Age]]&lt;=40, "31-40", Table1[[#This Row],[Age]]&lt;=50, "41-50", TRUE, "51-65")</f>
        <v>41-50</v>
      </c>
      <c r="F300" s="4" t="s">
        <v>58</v>
      </c>
      <c r="G300" s="4" t="s">
        <v>59</v>
      </c>
      <c r="H300" s="4">
        <v>53000</v>
      </c>
      <c r="I300" s="5">
        <v>44498</v>
      </c>
      <c r="J300" s="4">
        <v>4.9000000000000004</v>
      </c>
      <c r="K300" s="4" t="str" cm="1">
        <f t="array" ref="K300">_xlfn.IFS(Table1[[#This Row],[Years_of_Service]]&lt;=2, "0-2 Years", Table1[[#This Row],[Years_of_Service]]&lt;=5, "3-5 Years", Table1[[#This Row],[Years_of_Service]]&lt;=8, "6-8 Years", TRUE, "8 Years")</f>
        <v>3-5 Years</v>
      </c>
      <c r="L300" s="4" t="s">
        <v>43</v>
      </c>
      <c r="M300" s="4">
        <v>77.400000000000006</v>
      </c>
      <c r="N300" s="4">
        <v>92.9</v>
      </c>
      <c r="O300" s="4">
        <v>16</v>
      </c>
      <c r="P300" s="4">
        <v>11</v>
      </c>
      <c r="Q300" s="4" t="s">
        <v>38</v>
      </c>
      <c r="R300" s="5">
        <v>46197</v>
      </c>
      <c r="S300" s="4" t="s">
        <v>44</v>
      </c>
    </row>
    <row r="301" spans="1:19" x14ac:dyDescent="0.3">
      <c r="A301" s="4">
        <v>300</v>
      </c>
      <c r="B301" s="4" t="s">
        <v>370</v>
      </c>
      <c r="C301" s="4" t="s">
        <v>46</v>
      </c>
      <c r="D301" s="4">
        <v>40</v>
      </c>
      <c r="E301" s="4" t="str" cm="1">
        <f t="array" ref="E301">_xlfn.IFS(Table1[[#This Row],[Age]]&lt;=30, "18-30",Table1[[#This Row],[Age]]&lt;=40, "31-40", Table1[[#This Row],[Age]]&lt;=50, "41-50", TRUE, "51-65")</f>
        <v>31-40</v>
      </c>
      <c r="F301" s="4" t="s">
        <v>29</v>
      </c>
      <c r="G301" s="4" t="s">
        <v>66</v>
      </c>
      <c r="H301" s="4">
        <v>54000</v>
      </c>
      <c r="I301" s="5">
        <v>46269</v>
      </c>
      <c r="J301" s="4">
        <v>0.1</v>
      </c>
      <c r="K301" s="4" t="str" cm="1">
        <f t="array" ref="K301">_xlfn.IFS(Table1[[#This Row],[Years_of_Service]]&lt;=2, "0-2 Years", Table1[[#This Row],[Years_of_Service]]&lt;=5, "3-5 Years", Table1[[#This Row],[Years_of_Service]]&lt;=8, "6-8 Years", TRUE, "8 Years")</f>
        <v>0-2 Years</v>
      </c>
      <c r="L301" s="4" t="s">
        <v>49</v>
      </c>
      <c r="M301" s="4">
        <v>59.6</v>
      </c>
      <c r="N301" s="4">
        <v>83.1</v>
      </c>
      <c r="O301" s="4">
        <v>10</v>
      </c>
      <c r="P301" s="4">
        <v>8</v>
      </c>
      <c r="Q301" s="4" t="s">
        <v>32</v>
      </c>
      <c r="R301" s="5"/>
      <c r="S301" s="4" t="s">
        <v>39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8E69-9CD4-4CC1-8577-07E42A3C904F}">
  <dimension ref="A1:H3"/>
  <sheetViews>
    <sheetView workbookViewId="0">
      <selection activeCell="E24" sqref="E24"/>
    </sheetView>
  </sheetViews>
  <sheetFormatPr defaultRowHeight="14.4" x14ac:dyDescent="0.3"/>
  <cols>
    <col min="1" max="1" width="16.6640625" customWidth="1"/>
    <col min="2" max="2" width="13.44140625" customWidth="1"/>
    <col min="3" max="3" width="20.21875" customWidth="1"/>
    <col min="4" max="4" width="17.77734375" customWidth="1"/>
    <col min="5" max="5" width="19.33203125" customWidth="1"/>
    <col min="6" max="6" width="17.6640625" customWidth="1"/>
    <col min="7" max="7" width="20" customWidth="1"/>
    <col min="8" max="8" width="18.21875" bestFit="1" customWidth="1"/>
  </cols>
  <sheetData>
    <row r="1" spans="1:8" x14ac:dyDescent="0.3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392</v>
      </c>
    </row>
    <row r="2" spans="1:8" x14ac:dyDescent="0.3">
      <c r="A2">
        <f>COUNTA(Employee_Master!A2:A301)</f>
        <v>300</v>
      </c>
      <c r="B2">
        <f>AVERAGE(Employee_Master!D2:D301)</f>
        <v>40.123333333333335</v>
      </c>
      <c r="C2">
        <f>MIN(Employee_Master!D2:D301)</f>
        <v>21</v>
      </c>
      <c r="D2">
        <f>MAX(Employee_Master!D2:D301)</f>
        <v>58</v>
      </c>
      <c r="E2">
        <f>AVERAGE(Employee_Master!J2:J301)</f>
        <v>3.7850000000000001</v>
      </c>
      <c r="F2">
        <f>COUNTIF(Employee_Master!Q2:Q301, "Active")</f>
        <v>252</v>
      </c>
      <c r="G2">
        <f>COUNTIF(Employee_Master!Q2:Q301, "Resigned")</f>
        <v>48</v>
      </c>
      <c r="H2" s="9">
        <v>0.84</v>
      </c>
    </row>
    <row r="3" spans="1:8" x14ac:dyDescent="0.3">
      <c r="H3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DAB6-FAEF-4E58-891D-0491C2FAB0ED}">
  <dimension ref="A3:B6"/>
  <sheetViews>
    <sheetView workbookViewId="0">
      <selection activeCell="F32" sqref="F32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8.77734375" bestFit="1" customWidth="1"/>
  </cols>
  <sheetData>
    <row r="3" spans="1:2" x14ac:dyDescent="0.3">
      <c r="A3" s="6" t="s">
        <v>380</v>
      </c>
      <c r="B3" t="s">
        <v>389</v>
      </c>
    </row>
    <row r="4" spans="1:2" x14ac:dyDescent="0.3">
      <c r="A4" s="4" t="s">
        <v>46</v>
      </c>
      <c r="B4" s="7">
        <v>0.46</v>
      </c>
    </row>
    <row r="5" spans="1:2" x14ac:dyDescent="0.3">
      <c r="A5" s="4" t="s">
        <v>28</v>
      </c>
      <c r="B5" s="7">
        <v>0.54</v>
      </c>
    </row>
    <row r="6" spans="1:2" x14ac:dyDescent="0.3">
      <c r="A6" s="4" t="s">
        <v>381</v>
      </c>
      <c r="B6" s="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93ED-0ADC-4644-8FEE-E058C9DE822D}">
  <dimension ref="A3:B8"/>
  <sheetViews>
    <sheetView topLeftCell="A3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6" t="s">
        <v>380</v>
      </c>
      <c r="B3" t="s">
        <v>382</v>
      </c>
    </row>
    <row r="4" spans="1:2" x14ac:dyDescent="0.3">
      <c r="A4" s="4" t="s">
        <v>383</v>
      </c>
      <c r="B4">
        <v>82</v>
      </c>
    </row>
    <row r="5" spans="1:2" x14ac:dyDescent="0.3">
      <c r="A5" s="4" t="s">
        <v>384</v>
      </c>
      <c r="B5">
        <v>67</v>
      </c>
    </row>
    <row r="6" spans="1:2" x14ac:dyDescent="0.3">
      <c r="A6" s="4" t="s">
        <v>385</v>
      </c>
      <c r="B6">
        <v>89</v>
      </c>
    </row>
    <row r="7" spans="1:2" x14ac:dyDescent="0.3">
      <c r="A7" s="4" t="s">
        <v>386</v>
      </c>
      <c r="B7">
        <v>62</v>
      </c>
    </row>
    <row r="8" spans="1:2" x14ac:dyDescent="0.3">
      <c r="A8" s="4" t="s">
        <v>381</v>
      </c>
      <c r="B8">
        <v>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9F4E-9797-44DA-8B0F-D7A3739410A3}">
  <dimension ref="A3:C11"/>
  <sheetViews>
    <sheetView workbookViewId="0">
      <selection activeCell="K16" sqref="K16"/>
    </sheetView>
  </sheetViews>
  <sheetFormatPr defaultRowHeight="14.4" x14ac:dyDescent="0.3"/>
  <cols>
    <col min="1" max="1" width="15.77734375" bestFit="1" customWidth="1"/>
    <col min="2" max="2" width="20.109375" bestFit="1" customWidth="1"/>
    <col min="3" max="3" width="25.109375" bestFit="1" customWidth="1"/>
  </cols>
  <sheetData>
    <row r="3" spans="1:3" x14ac:dyDescent="0.3">
      <c r="A3" s="6" t="s">
        <v>380</v>
      </c>
      <c r="B3" t="s">
        <v>382</v>
      </c>
      <c r="C3" t="s">
        <v>387</v>
      </c>
    </row>
    <row r="4" spans="1:3" x14ac:dyDescent="0.3">
      <c r="A4" s="4" t="s">
        <v>35</v>
      </c>
      <c r="B4">
        <v>54</v>
      </c>
      <c r="C4">
        <v>3.7018518518518526</v>
      </c>
    </row>
    <row r="5" spans="1:3" x14ac:dyDescent="0.3">
      <c r="A5" s="4" t="s">
        <v>51</v>
      </c>
      <c r="B5">
        <v>48</v>
      </c>
      <c r="C5">
        <v>3.9479166666666674</v>
      </c>
    </row>
    <row r="6" spans="1:3" x14ac:dyDescent="0.3">
      <c r="A6" s="4" t="s">
        <v>47</v>
      </c>
      <c r="B6">
        <v>44</v>
      </c>
      <c r="C6">
        <v>3.7886363636363636</v>
      </c>
    </row>
    <row r="7" spans="1:3" x14ac:dyDescent="0.3">
      <c r="A7" s="4" t="s">
        <v>58</v>
      </c>
      <c r="B7">
        <v>43</v>
      </c>
      <c r="C7">
        <v>3.6348837209302314</v>
      </c>
    </row>
    <row r="8" spans="1:3" x14ac:dyDescent="0.3">
      <c r="A8" s="4" t="s">
        <v>41</v>
      </c>
      <c r="B8">
        <v>40</v>
      </c>
      <c r="C8">
        <v>3.5799999999999996</v>
      </c>
    </row>
    <row r="9" spans="1:3" x14ac:dyDescent="0.3">
      <c r="A9" s="4" t="s">
        <v>29</v>
      </c>
      <c r="B9">
        <v>38</v>
      </c>
      <c r="C9">
        <v>4.121052631578948</v>
      </c>
    </row>
    <row r="10" spans="1:3" x14ac:dyDescent="0.3">
      <c r="A10" s="4" t="s">
        <v>85</v>
      </c>
      <c r="B10">
        <v>33</v>
      </c>
      <c r="C10">
        <v>3.7363636363636372</v>
      </c>
    </row>
    <row r="11" spans="1:3" x14ac:dyDescent="0.3">
      <c r="A11" s="4" t="s">
        <v>381</v>
      </c>
      <c r="B11">
        <v>300</v>
      </c>
      <c r="C11">
        <v>3.7850000000000006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B330-A23F-47A6-BD8E-9957FEC05122}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6" t="s">
        <v>380</v>
      </c>
      <c r="B3" t="s">
        <v>382</v>
      </c>
    </row>
    <row r="4" spans="1:2" x14ac:dyDescent="0.3">
      <c r="A4" s="4" t="s">
        <v>44</v>
      </c>
      <c r="B4">
        <v>60</v>
      </c>
    </row>
    <row r="5" spans="1:2" x14ac:dyDescent="0.3">
      <c r="A5" s="4" t="s">
        <v>39</v>
      </c>
      <c r="B5">
        <v>62</v>
      </c>
    </row>
    <row r="6" spans="1:2" x14ac:dyDescent="0.3">
      <c r="A6" s="4" t="s">
        <v>33</v>
      </c>
      <c r="B6">
        <v>63</v>
      </c>
    </row>
    <row r="7" spans="1:2" x14ac:dyDescent="0.3">
      <c r="A7" s="4" t="s">
        <v>60</v>
      </c>
      <c r="B7">
        <v>56</v>
      </c>
    </row>
    <row r="8" spans="1:2" x14ac:dyDescent="0.3">
      <c r="A8" s="4" t="s">
        <v>75</v>
      </c>
      <c r="B8">
        <v>59</v>
      </c>
    </row>
    <row r="9" spans="1:2" x14ac:dyDescent="0.3">
      <c r="A9" s="4" t="s">
        <v>381</v>
      </c>
      <c r="B9">
        <v>300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184E-636B-4D04-9585-72D16710B2D7}">
  <dimension ref="A3:B26"/>
  <sheetViews>
    <sheetView workbookViewId="0">
      <selection activeCell="B15" sqref="B15"/>
    </sheetView>
  </sheetViews>
  <sheetFormatPr defaultRowHeight="14.4" x14ac:dyDescent="0.3"/>
  <cols>
    <col min="1" max="1" width="27.88671875" bestFit="1" customWidth="1"/>
    <col min="2" max="2" width="20.109375" bestFit="1" customWidth="1"/>
  </cols>
  <sheetData>
    <row r="3" spans="1:2" x14ac:dyDescent="0.3">
      <c r="A3" s="6" t="s">
        <v>380</v>
      </c>
      <c r="B3" t="s">
        <v>382</v>
      </c>
    </row>
    <row r="4" spans="1:2" x14ac:dyDescent="0.3">
      <c r="A4" s="4" t="s">
        <v>136</v>
      </c>
      <c r="B4">
        <v>15</v>
      </c>
    </row>
    <row r="5" spans="1:2" x14ac:dyDescent="0.3">
      <c r="A5" s="4" t="s">
        <v>52</v>
      </c>
      <c r="B5">
        <v>16</v>
      </c>
    </row>
    <row r="6" spans="1:2" x14ac:dyDescent="0.3">
      <c r="A6" s="4" t="s">
        <v>71</v>
      </c>
      <c r="B6">
        <v>14</v>
      </c>
    </row>
    <row r="7" spans="1:2" x14ac:dyDescent="0.3">
      <c r="A7" s="4" t="s">
        <v>36</v>
      </c>
      <c r="B7">
        <v>15</v>
      </c>
    </row>
    <row r="8" spans="1:2" x14ac:dyDescent="0.3">
      <c r="A8" s="4" t="s">
        <v>93</v>
      </c>
      <c r="B8">
        <v>16</v>
      </c>
    </row>
    <row r="9" spans="1:2" x14ac:dyDescent="0.3">
      <c r="A9" s="4" t="s">
        <v>78</v>
      </c>
      <c r="B9">
        <v>14</v>
      </c>
    </row>
    <row r="10" spans="1:2" x14ac:dyDescent="0.3">
      <c r="A10" s="4" t="s">
        <v>59</v>
      </c>
      <c r="B10">
        <v>14</v>
      </c>
    </row>
    <row r="11" spans="1:2" x14ac:dyDescent="0.3">
      <c r="A11" s="4" t="s">
        <v>48</v>
      </c>
      <c r="B11">
        <v>16</v>
      </c>
    </row>
    <row r="12" spans="1:2" x14ac:dyDescent="0.3">
      <c r="A12" s="4" t="s">
        <v>89</v>
      </c>
      <c r="B12">
        <v>16</v>
      </c>
    </row>
    <row r="13" spans="1:2" x14ac:dyDescent="0.3">
      <c r="A13" s="4" t="s">
        <v>30</v>
      </c>
      <c r="B13">
        <v>13</v>
      </c>
    </row>
    <row r="14" spans="1:2" x14ac:dyDescent="0.3">
      <c r="A14" s="4" t="s">
        <v>66</v>
      </c>
      <c r="B14">
        <v>9</v>
      </c>
    </row>
    <row r="15" spans="1:2" x14ac:dyDescent="0.3">
      <c r="A15" s="4" t="s">
        <v>103</v>
      </c>
      <c r="B15">
        <v>12</v>
      </c>
    </row>
    <row r="16" spans="1:2" x14ac:dyDescent="0.3">
      <c r="A16" s="4" t="s">
        <v>86</v>
      </c>
      <c r="B16">
        <v>9</v>
      </c>
    </row>
    <row r="17" spans="1:2" x14ac:dyDescent="0.3">
      <c r="A17" s="4" t="s">
        <v>108</v>
      </c>
      <c r="B17">
        <v>12</v>
      </c>
    </row>
    <row r="18" spans="1:2" x14ac:dyDescent="0.3">
      <c r="A18" s="4" t="s">
        <v>81</v>
      </c>
      <c r="B18">
        <v>14</v>
      </c>
    </row>
    <row r="19" spans="1:2" x14ac:dyDescent="0.3">
      <c r="A19" s="4" t="s">
        <v>64</v>
      </c>
      <c r="B19">
        <v>12</v>
      </c>
    </row>
    <row r="20" spans="1:2" x14ac:dyDescent="0.3">
      <c r="A20" s="4" t="s">
        <v>73</v>
      </c>
      <c r="B20">
        <v>15</v>
      </c>
    </row>
    <row r="21" spans="1:2" x14ac:dyDescent="0.3">
      <c r="A21" s="4" t="s">
        <v>55</v>
      </c>
      <c r="B21">
        <v>17</v>
      </c>
    </row>
    <row r="22" spans="1:2" x14ac:dyDescent="0.3">
      <c r="A22" s="4" t="s">
        <v>69</v>
      </c>
      <c r="B22">
        <v>13</v>
      </c>
    </row>
    <row r="23" spans="1:2" x14ac:dyDescent="0.3">
      <c r="A23" s="4" t="s">
        <v>42</v>
      </c>
      <c r="B23">
        <v>14</v>
      </c>
    </row>
    <row r="24" spans="1:2" x14ac:dyDescent="0.3">
      <c r="A24" s="4" t="s">
        <v>96</v>
      </c>
      <c r="B24">
        <v>12</v>
      </c>
    </row>
    <row r="25" spans="1:2" x14ac:dyDescent="0.3">
      <c r="A25" s="4" t="s">
        <v>101</v>
      </c>
      <c r="B25">
        <v>12</v>
      </c>
    </row>
    <row r="26" spans="1:2" x14ac:dyDescent="0.3">
      <c r="A26" s="4" t="s">
        <v>381</v>
      </c>
      <c r="B26">
        <v>300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1A65-2C2D-4247-AC45-42AB1FB2B62F}">
  <dimension ref="A3:D12"/>
  <sheetViews>
    <sheetView workbookViewId="0">
      <selection activeCell="O19" sqref="O19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5.21875" bestFit="1" customWidth="1"/>
    <col min="4" max="4" width="10.77734375" bestFit="1" customWidth="1"/>
  </cols>
  <sheetData>
    <row r="3" spans="1:4" x14ac:dyDescent="0.3">
      <c r="A3" s="6" t="s">
        <v>382</v>
      </c>
      <c r="B3" s="6" t="s">
        <v>388</v>
      </c>
    </row>
    <row r="4" spans="1:4" x14ac:dyDescent="0.3">
      <c r="A4" s="6" t="s">
        <v>380</v>
      </c>
      <c r="B4" t="s">
        <v>46</v>
      </c>
      <c r="C4" t="s">
        <v>28</v>
      </c>
      <c r="D4" t="s">
        <v>381</v>
      </c>
    </row>
    <row r="5" spans="1:4" x14ac:dyDescent="0.3">
      <c r="A5" s="4" t="s">
        <v>41</v>
      </c>
      <c r="B5">
        <v>19</v>
      </c>
      <c r="C5">
        <v>21</v>
      </c>
      <c r="D5">
        <v>40</v>
      </c>
    </row>
    <row r="6" spans="1:4" x14ac:dyDescent="0.3">
      <c r="A6" s="4" t="s">
        <v>58</v>
      </c>
      <c r="B6">
        <v>25</v>
      </c>
      <c r="C6">
        <v>18</v>
      </c>
      <c r="D6">
        <v>43</v>
      </c>
    </row>
    <row r="7" spans="1:4" x14ac:dyDescent="0.3">
      <c r="A7" s="4" t="s">
        <v>47</v>
      </c>
      <c r="B7">
        <v>15</v>
      </c>
      <c r="C7">
        <v>29</v>
      </c>
      <c r="D7">
        <v>44</v>
      </c>
    </row>
    <row r="8" spans="1:4" x14ac:dyDescent="0.3">
      <c r="A8" s="4" t="s">
        <v>35</v>
      </c>
      <c r="B8">
        <v>24</v>
      </c>
      <c r="C8">
        <v>30</v>
      </c>
      <c r="D8">
        <v>54</v>
      </c>
    </row>
    <row r="9" spans="1:4" x14ac:dyDescent="0.3">
      <c r="A9" s="4" t="s">
        <v>29</v>
      </c>
      <c r="B9">
        <v>17</v>
      </c>
      <c r="C9">
        <v>21</v>
      </c>
      <c r="D9">
        <v>38</v>
      </c>
    </row>
    <row r="10" spans="1:4" x14ac:dyDescent="0.3">
      <c r="A10" s="4" t="s">
        <v>85</v>
      </c>
      <c r="B10">
        <v>16</v>
      </c>
      <c r="C10">
        <v>17</v>
      </c>
      <c r="D10">
        <v>33</v>
      </c>
    </row>
    <row r="11" spans="1:4" x14ac:dyDescent="0.3">
      <c r="A11" s="4" t="s">
        <v>51</v>
      </c>
      <c r="B11">
        <v>22</v>
      </c>
      <c r="C11">
        <v>26</v>
      </c>
      <c r="D11">
        <v>48</v>
      </c>
    </row>
    <row r="12" spans="1:4" x14ac:dyDescent="0.3">
      <c r="A12" s="4" t="s">
        <v>381</v>
      </c>
      <c r="B12">
        <v>138</v>
      </c>
      <c r="C12">
        <v>162</v>
      </c>
      <c r="D12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FD93-A67F-478F-8282-B7BC0C4F0AB2}">
  <dimension ref="A3:B6"/>
  <sheetViews>
    <sheetView workbookViewId="0">
      <selection activeCell="J29" sqref="J29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6" t="s">
        <v>380</v>
      </c>
      <c r="B3" t="s">
        <v>391</v>
      </c>
    </row>
    <row r="4" spans="1:2" x14ac:dyDescent="0.3">
      <c r="A4" s="4" t="s">
        <v>32</v>
      </c>
      <c r="B4" s="7">
        <v>0.84</v>
      </c>
    </row>
    <row r="5" spans="1:2" x14ac:dyDescent="0.3">
      <c r="A5" s="4" t="s">
        <v>38</v>
      </c>
      <c r="B5" s="7">
        <v>0.16</v>
      </c>
    </row>
    <row r="6" spans="1:2" x14ac:dyDescent="0.3">
      <c r="A6" s="4" t="s">
        <v>381</v>
      </c>
      <c r="B6" s="7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3844-2C43-4D80-8502-66CAC0E268E6}">
  <dimension ref="A1:W34"/>
  <sheetViews>
    <sheetView topLeftCell="A2" workbookViewId="0">
      <selection activeCell="W15" sqref="W15"/>
    </sheetView>
  </sheetViews>
  <sheetFormatPr defaultRowHeight="14.4" x14ac:dyDescent="0.3"/>
  <sheetData>
    <row r="1" spans="1:23" x14ac:dyDescent="0.3">
      <c r="A1" s="10" t="s">
        <v>390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3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3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3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3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3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3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3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3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3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3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3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3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3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</sheetData>
  <mergeCells count="3">
    <mergeCell ref="A1:W2"/>
    <mergeCell ref="A3:V18"/>
    <mergeCell ref="A19:V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Employee_Master</vt:lpstr>
      <vt:lpstr>Demographic Summary</vt:lpstr>
      <vt:lpstr>Gender Analysis</vt:lpstr>
      <vt:lpstr>Age Group Distribution</vt:lpstr>
      <vt:lpstr>Department Headcount</vt:lpstr>
      <vt:lpstr>Location-Wise Headcount </vt:lpstr>
      <vt:lpstr>Position-wise Distribution</vt:lpstr>
      <vt:lpstr>Department vs Gender</vt:lpstr>
      <vt:lpstr>Active and Resigned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TRIPTI GANGWAR</cp:lastModifiedBy>
  <dcterms:created xsi:type="dcterms:W3CDTF">2026-10-07T12:26:20Z</dcterms:created>
  <dcterms:modified xsi:type="dcterms:W3CDTF">2026-10-08T08:30:00Z</dcterms:modified>
</cp:coreProperties>
</file>